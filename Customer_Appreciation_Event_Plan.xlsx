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marmena/Downloads/"/>
    </mc:Choice>
  </mc:AlternateContent>
  <xr:revisionPtr revIDLastSave="0" documentId="8_{08ADD097-5BD6-5741-84D8-42E4679DC5A5}" xr6:coauthVersionLast="47" xr6:coauthVersionMax="47" xr10:uidLastSave="{00000000-0000-0000-0000-000000000000}"/>
  <bookViews>
    <workbookView xWindow="9960" yWindow="660" windowWidth="18600" windowHeight="17200" xr2:uid="{00000000-000D-0000-FFFF-FFFF00000000}"/>
  </bookViews>
  <sheets>
    <sheet name="Project Tasks" sheetId="1" r:id="rId1"/>
    <sheet name="Budget &amp; Ris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A26" i="2"/>
  <c r="A34" i="2"/>
  <c r="B32" i="2"/>
  <c r="G15" i="2"/>
  <c r="H13" i="2"/>
  <c r="I10" i="2"/>
  <c r="I9" i="2"/>
  <c r="I8" i="2"/>
  <c r="I7" i="2"/>
  <c r="I6" i="2"/>
  <c r="I5" i="2"/>
  <c r="B45" i="1"/>
  <c r="A45" i="1"/>
  <c r="B44" i="1"/>
  <c r="A44" i="1"/>
  <c r="B43" i="1"/>
  <c r="A43" i="1"/>
  <c r="B42" i="1"/>
  <c r="A42" i="1"/>
  <c r="H11" i="2"/>
  <c r="D9" i="2"/>
  <c r="Z28" i="1"/>
  <c r="Z27" i="1"/>
  <c r="Z26" i="1"/>
  <c r="Z25" i="1"/>
  <c r="Z24" i="1"/>
  <c r="Z23" i="1"/>
  <c r="Y22" i="1"/>
  <c r="Z22" i="1"/>
  <c r="Z21" i="1"/>
  <c r="Z20" i="1"/>
  <c r="Z19" i="1"/>
  <c r="Z18" i="1"/>
  <c r="Y17" i="1"/>
  <c r="Z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E24" i="1"/>
  <c r="E19" i="1"/>
  <c r="E18" i="1"/>
  <c r="E19" i="2"/>
  <c r="E20" i="2" s="1"/>
  <c r="D15" i="2"/>
  <c r="D14" i="2"/>
  <c r="D13" i="2"/>
  <c r="D12" i="2"/>
  <c r="D11" i="2"/>
  <c r="D10" i="2"/>
  <c r="D8" i="2"/>
  <c r="D17" i="2" s="1"/>
  <c r="D18" i="2" s="1"/>
  <c r="D22" i="1"/>
  <c r="D17" i="1"/>
  <c r="C45" i="1" l="1"/>
  <c r="C44" i="1"/>
  <c r="C43" i="1"/>
  <c r="C42" i="1"/>
  <c r="V24" i="1"/>
  <c r="L24" i="1"/>
  <c r="Y24" i="1"/>
  <c r="T24" i="1"/>
  <c r="K24" i="1"/>
  <c r="M24" i="1"/>
  <c r="O24" i="1"/>
  <c r="F24" i="1"/>
  <c r="J24" i="1"/>
  <c r="S24" i="1"/>
  <c r="F19" i="1"/>
  <c r="W19" i="1"/>
  <c r="V19" i="1"/>
  <c r="U19" i="1"/>
  <c r="T19" i="1"/>
  <c r="S19" i="1"/>
  <c r="R19" i="1"/>
  <c r="Q19" i="1"/>
  <c r="Y19" i="1"/>
  <c r="P19" i="1"/>
  <c r="O19" i="1"/>
  <c r="N19" i="1"/>
  <c r="J19" i="1"/>
  <c r="K19" i="1"/>
  <c r="L19" i="1"/>
  <c r="F18" i="1"/>
  <c r="Y18" i="1"/>
  <c r="O18" i="1"/>
  <c r="I11" i="2"/>
  <c r="E20" i="1" l="1"/>
  <c r="E21" i="1"/>
  <c r="D18" i="1"/>
  <c r="D24" i="1"/>
  <c r="Q24" i="1"/>
  <c r="R24" i="1"/>
  <c r="U24" i="1"/>
  <c r="W24" i="1"/>
  <c r="P24" i="1"/>
  <c r="N24" i="1"/>
  <c r="D19" i="1"/>
  <c r="M19" i="1"/>
  <c r="T18" i="1"/>
  <c r="W18" i="1"/>
  <c r="V18" i="1"/>
  <c r="U18" i="1"/>
  <c r="S18" i="1"/>
  <c r="R18" i="1"/>
  <c r="Q18" i="1"/>
  <c r="P18" i="1"/>
  <c r="N18" i="1"/>
  <c r="M18" i="1"/>
  <c r="L18" i="1"/>
  <c r="K18" i="1"/>
  <c r="J18" i="1"/>
  <c r="W20" i="1" l="1"/>
  <c r="V20" i="1"/>
  <c r="U20" i="1"/>
  <c r="T20" i="1"/>
  <c r="F20" i="1"/>
  <c r="Y20" i="1"/>
  <c r="F21" i="1"/>
  <c r="M21" i="1" s="1"/>
  <c r="W21" i="1"/>
  <c r="V21" i="1"/>
  <c r="U21" i="1"/>
  <c r="T21" i="1"/>
  <c r="S21" i="1"/>
  <c r="R21" i="1"/>
  <c r="Q21" i="1"/>
  <c r="P21" i="1"/>
  <c r="O21" i="1"/>
  <c r="N21" i="1"/>
  <c r="L21" i="1"/>
  <c r="K21" i="1"/>
  <c r="J21" i="1"/>
  <c r="Y21" i="1"/>
  <c r="E25" i="1" l="1"/>
  <c r="D20" i="1"/>
  <c r="D21" i="1"/>
  <c r="D45" i="1" s="1"/>
  <c r="E23" i="1"/>
  <c r="S20" i="1"/>
  <c r="R20" i="1"/>
  <c r="Q20" i="1"/>
  <c r="P20" i="1"/>
  <c r="O20" i="1"/>
  <c r="N20" i="1"/>
  <c r="M20" i="1"/>
  <c r="L20" i="1"/>
  <c r="K20" i="1"/>
  <c r="J20" i="1"/>
  <c r="F25" i="1" l="1"/>
  <c r="W25" i="1"/>
  <c r="U25" i="1"/>
  <c r="S25" i="1"/>
  <c r="Q25" i="1"/>
  <c r="O25" i="1"/>
  <c r="M25" i="1"/>
  <c r="K25" i="1"/>
  <c r="Y25" i="1"/>
  <c r="V25" i="1"/>
  <c r="T25" i="1"/>
  <c r="R25" i="1"/>
  <c r="P25" i="1"/>
  <c r="N25" i="1"/>
  <c r="L25" i="1"/>
  <c r="J25" i="1"/>
  <c r="D25" i="1"/>
  <c r="V23" i="1"/>
  <c r="T23" i="1"/>
  <c r="R23" i="1"/>
  <c r="P23" i="1"/>
  <c r="N23" i="1"/>
  <c r="L23" i="1"/>
  <c r="D23" i="1"/>
  <c r="W23" i="1"/>
  <c r="U23" i="1"/>
  <c r="S23" i="1"/>
  <c r="Q23" i="1"/>
  <c r="O23" i="1"/>
  <c r="M23" i="1"/>
  <c r="K23" i="1"/>
  <c r="J23" i="1"/>
  <c r="Y23" i="1"/>
  <c r="E27" i="1" l="1"/>
  <c r="E26" i="1"/>
  <c r="Y27" i="1" l="1"/>
  <c r="F27" i="1"/>
  <c r="F26" i="1"/>
  <c r="V26" i="1"/>
  <c r="T26" i="1"/>
  <c r="R26" i="1"/>
  <c r="P26" i="1"/>
  <c r="N26" i="1"/>
  <c r="L26" i="1"/>
  <c r="J26" i="1"/>
  <c r="W26" i="1"/>
  <c r="U26" i="1"/>
  <c r="S26" i="1"/>
  <c r="Q26" i="1"/>
  <c r="O26" i="1"/>
  <c r="Y26" i="1"/>
  <c r="E28" i="1" l="1"/>
  <c r="M7" i="1"/>
  <c r="D27" i="1"/>
  <c r="D43" i="1" s="1"/>
  <c r="J27" i="1"/>
  <c r="L27" i="1"/>
  <c r="N27" i="1"/>
  <c r="K27" i="1"/>
  <c r="M27" i="1"/>
  <c r="O27" i="1"/>
  <c r="P27" i="1"/>
  <c r="Q27" i="1"/>
  <c r="R27" i="1"/>
  <c r="S27" i="1"/>
  <c r="T27" i="1"/>
  <c r="U27" i="1"/>
  <c r="V27" i="1"/>
  <c r="W27" i="1"/>
  <c r="M26" i="1"/>
  <c r="K26" i="1"/>
  <c r="D26" i="1"/>
  <c r="D42" i="1" s="1"/>
  <c r="F28" i="1" l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Y28" i="1"/>
  <c r="M8" i="1" s="1"/>
  <c r="M6" i="1" s="1"/>
  <c r="M5" i="1" l="1"/>
  <c r="D28" i="1"/>
  <c r="D44" i="1" s="1"/>
</calcChain>
</file>

<file path=xl/sharedStrings.xml><?xml version="1.0" encoding="utf-8"?>
<sst xmlns="http://schemas.openxmlformats.org/spreadsheetml/2006/main" count="156" uniqueCount="127">
  <si>
    <t>Customer Appreciation Event</t>
  </si>
  <si>
    <t>Goal</t>
  </si>
  <si>
    <t>Thank loyal customers and strengthen relationships.</t>
  </si>
  <si>
    <t>Outcome</t>
  </si>
  <si>
    <t>Host 30 customers with refreshments and a 5-minute business presentation.</t>
  </si>
  <si>
    <t>Deadline</t>
  </si>
  <si>
    <t>Day 14 (two-week planning window).</t>
  </si>
  <si>
    <t>Budget</t>
  </si>
  <si>
    <t>Scope</t>
  </si>
  <si>
    <t>Invitations, on-site event, refreshments, presentation, setup and cleanup.</t>
  </si>
  <si>
    <t>Team member</t>
  </si>
  <si>
    <t>Role</t>
  </si>
  <si>
    <t>Responsibility</t>
  </si>
  <si>
    <t>Jomar Mena</t>
  </si>
  <si>
    <t>Project Manager</t>
  </si>
  <si>
    <t>Budget and Resources Manager</t>
  </si>
  <si>
    <t>Track spending and approve purchases.</t>
  </si>
  <si>
    <t>Event Coordinator</t>
  </si>
  <si>
    <t>Arrange venue, food and supplies.</t>
  </si>
  <si>
    <t>Communications and Presentation Lead</t>
  </si>
  <si>
    <t>Manage invitations and business presentation.</t>
  </si>
  <si>
    <t>ID</t>
  </si>
  <si>
    <t>Task</t>
  </si>
  <si>
    <t>Assigned To</t>
  </si>
  <si>
    <t>Duration (Days)</t>
  </si>
  <si>
    <t>Start Day</t>
  </si>
  <si>
    <t>Finish Day</t>
  </si>
  <si>
    <t>Status</t>
  </si>
  <si>
    <t>Depends on (ID)</t>
  </si>
  <si>
    <t>Define event scope and approve plan</t>
  </si>
  <si>
    <t>Not Started</t>
  </si>
  <si>
    <t>None</t>
  </si>
  <si>
    <t>Confirm free on-site location and time</t>
  </si>
  <si>
    <t>1</t>
  </si>
  <si>
    <t>Prepare list of 30 customers</t>
  </si>
  <si>
    <t>Communications Lead</t>
  </si>
  <si>
    <t>Get quotes and approve spending plan</t>
  </si>
  <si>
    <t>Budget Manager</t>
  </si>
  <si>
    <t>2</t>
  </si>
  <si>
    <t>Create and send digital invitations</t>
  </si>
  <si>
    <t>2, 3</t>
  </si>
  <si>
    <t>Prepare 5-minute presentation</t>
  </si>
  <si>
    <t>Track RSVPs and send reminders</t>
  </si>
  <si>
    <t>5</t>
  </si>
  <si>
    <t>Confirm attendance and dietary needs</t>
  </si>
  <si>
    <t>7</t>
  </si>
  <si>
    <t>Confirm vendors, supplies and equipment</t>
  </si>
  <si>
    <t>4, 8</t>
  </si>
  <si>
    <t>Rehearse presentation and final team check</t>
  </si>
  <si>
    <t>6, 9</t>
  </si>
  <si>
    <t>Purchase fresh refreshments</t>
  </si>
  <si>
    <t>4, 8, 9</t>
  </si>
  <si>
    <t>Set up, host event and clean up</t>
  </si>
  <si>
    <t>10, 11</t>
  </si>
  <si>
    <t>Schedule control: update status daily. PM reviews progress on Days 4, 7, 10 and 13.</t>
  </si>
  <si>
    <t>If a task slips: notify the PM that day, assign help and revise the plan within Day 14.</t>
  </si>
  <si>
    <t>Event agenda (60 minutes): welcome 10, refreshments 20, presentation 5, Q&amp;A 10, networking 15.</t>
  </si>
  <si>
    <t>Total budget</t>
  </si>
  <si>
    <t>Customers</t>
  </si>
  <si>
    <t>Item</t>
  </si>
  <si>
    <t>Quantity</t>
  </si>
  <si>
    <t>Unit estimate</t>
  </si>
  <si>
    <t>Planned cost</t>
  </si>
  <si>
    <t>Actual cost</t>
  </si>
  <si>
    <t>Venue (business premises)</t>
  </si>
  <si>
    <t>Sandwich / snack portions</t>
  </si>
  <si>
    <t>Drinks</t>
  </si>
  <si>
    <t>Plates, cups and napkins</t>
  </si>
  <si>
    <t>Estimated taxes / delivery</t>
  </si>
  <si>
    <t>Presentation (existing equipment)</t>
  </si>
  <si>
    <t>Planned spending</t>
  </si>
  <si>
    <t>Unallocated reserve</t>
  </si>
  <si>
    <t>Actual spending to date</t>
  </si>
  <si>
    <t>Remaining cash</t>
  </si>
  <si>
    <t>Planning estimates only. Confirm quotes before purchasing.</t>
  </si>
  <si>
    <t>Blank actual costs mean not yet entered. Enter each receipt including tax.</t>
  </si>
  <si>
    <t>Keep the $50 reserve for unexpected costs. Do not exceed $500 total.</t>
  </si>
  <si>
    <t>Rebecca Semerad</t>
  </si>
  <si>
    <t>Sahil Prabhakar</t>
  </si>
  <si>
    <t>Sagar Prabhakar</t>
  </si>
  <si>
    <t>Coordinate progress, track RSVPs and arrange backup help.</t>
  </si>
  <si>
    <t>TWO-WEEK GANTT • inclusive calendar days</t>
  </si>
  <si>
    <t>Week 1</t>
  </si>
  <si>
    <t>Week 2</t>
  </si>
  <si>
    <t>Dependency check</t>
  </si>
  <si>
    <t>Named owner</t>
  </si>
  <si>
    <t>SCHEDULE CHECK</t>
  </si>
  <si>
    <t>Final day</t>
  </si>
  <si>
    <t>Within 14 days?</t>
  </si>
  <si>
    <t>Prep complete day</t>
  </si>
  <si>
    <t>Dependency issues</t>
  </si>
  <si>
    <t>■ = scheduled window, not person-days of effort. Relative Days 1–14; no event date supplied.</t>
  </si>
  <si>
    <t>Sequence: predecessors finish the prior day, except Day 14 refreshments are bought before event setup.</t>
  </si>
  <si>
    <t>Budget control: record receipts on Budget &amp; Risks; get budget-manager approval before spending.</t>
  </si>
  <si>
    <t>Shared workspace: Excel + OneDrive proposed. All four members need edit access; see collaboration checklist below.</t>
  </si>
  <si>
    <t>Schedule revision: vendor confirmation takes Day 12; rehearsal Day 13. PM takes RSVPs to balance communications work.</t>
  </si>
  <si>
    <t>Decorations</t>
  </si>
  <si>
    <t>Invitations</t>
  </si>
  <si>
    <t>Event Budget &amp; Risks</t>
  </si>
  <si>
    <t>Budget comparison</t>
  </si>
  <si>
    <t>Class proposal</t>
  </si>
  <si>
    <t>Current plan</t>
  </si>
  <si>
    <t>Refreshments</t>
  </si>
  <si>
    <t>Decorations and supplies</t>
  </si>
  <si>
    <t>Presentation materials</t>
  </si>
  <si>
    <t>Tax / delivery</t>
  </si>
  <si>
    <t>Contingency / reserve</t>
  </si>
  <si>
    <t>Total</t>
  </si>
  <si>
    <t>Budget check</t>
  </si>
  <si>
    <t>RISK REGISTER • proposed responses</t>
  </si>
  <si>
    <t>Potential risk</t>
  </si>
  <si>
    <t>Possible solution</t>
  </si>
  <si>
    <t>Risk owner</t>
  </si>
  <si>
    <t>Trigger / checkpoint</t>
  </si>
  <si>
    <t>Customers do not respond to invitations</t>
  </si>
  <si>
    <t>PM sends reminders on Days 7 and 9. Communications Lead invites additional customers, subject to venue capacity; confirm final attendance and dietary needs on Day 11.</t>
  </si>
  <si>
    <t>Jomar Mena / Sagar Prabhakar</t>
  </si>
  <si>
    <t>Day 7: fewer than 30 confirmed; check again Day 10.</t>
  </si>
  <si>
    <t>Monitor</t>
  </si>
  <si>
    <t>Costs exceed the $500 budget</t>
  </si>
  <si>
    <t>Any quote exceeds its allowance or total forecast exceeds $500.</t>
  </si>
  <si>
    <t>TEAM WORKLOAD REVIEW</t>
  </si>
  <si>
    <t>Owned tasks</t>
  </si>
  <si>
    <t>Window-days (not effort)</t>
  </si>
  <si>
    <t>Fairness review: PM owns RSVP follow-up; communications owns invitations and the presentation. Budget manager also tracks receipts; all four help on event day. Confirm effort-hours as a group before judging equal workload.</t>
  </si>
  <si>
    <t>Discussion: could late RSVPs, vendor delays or equipment problems block readiness? Review on Days 4, 7, 10 and 13; use backup suppliers and test existing equipment before the event.</t>
  </si>
  <si>
    <t>Assumptions: free business venue and existing presentation equipment. Invitation and supplier costs follow the current editable estimates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</si>
</sst>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&quot;D&quot;0"/>
    <numFmt numFmtId="168" formatCode="&quot;$&quot;#,##0.00"/>
  </numFmts>
  <fonts count="7">
    <font>
      <sz val="11"/>
      <name val="Carlito"/>
    </font>
    <font>
      <sz val="11"/>
      <color rgb="FF243247"/>
      <name val="Arial"/>
      <family val="2"/>
    </font>
    <font>
      <b/>
      <sz val="11"/>
      <color rgb="FFFFFFFF"/>
      <name val="Arial"/>
      <family val="2"/>
    </font>
    <font>
      <b/>
      <sz val="11"/>
      <color rgb="FF243247"/>
      <name val="Arial"/>
      <family val="2"/>
    </font>
    <font>
      <b/>
      <sz val="11"/>
      <color rgb="FFFFFFFF"/>
      <name val="Carlito"/>
    </font>
    <font>
      <b/>
      <sz val="11"/>
      <name val="Carlito"/>
    </font>
    <font>
      <b/>
      <sz val="18"/>
      <color rgb="FF19385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44C66"/>
        <bgColor indexed="64"/>
      </patternFill>
    </fill>
    <fill>
      <patternFill patternType="solid">
        <fgColor rgb="FFDCEEF1"/>
        <bgColor indexed="64"/>
      </patternFill>
    </fill>
    <fill>
      <patternFill patternType="solid">
        <fgColor rgb="FFE8E4F4"/>
        <bgColor indexed="64"/>
      </patternFill>
    </fill>
    <fill>
      <patternFill patternType="solid">
        <fgColor rgb="FFFFF1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165" fontId="1" fillId="0" borderId="0" xfId="0" applyNumberFormat="1" applyFont="1"/>
    <xf numFmtId="165" fontId="1" fillId="2" borderId="0" xfId="0" applyNumberFormat="1" applyFont="1" applyFill="1"/>
    <xf numFmtId="0" fontId="3" fillId="0" borderId="0" xfId="0" applyFont="1"/>
    <xf numFmtId="165" fontId="3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3" borderId="0" xfId="0" applyFont="1" applyFill="1" applyAlignment="1">
      <alignment wrapText="1"/>
    </xf>
    <xf numFmtId="0" fontId="4" fillId="3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166" fontId="4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6" borderId="0" xfId="0" applyFill="1" applyBorder="1" applyAlignment="1">
      <alignment wrapText="1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2" fillId="3" borderId="0" xfId="0" applyFont="1" applyFill="1"/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168" fontId="1" fillId="0" borderId="0" xfId="0" applyNumberFormat="1" applyFont="1" applyAlignment="1">
      <alignment wrapText="1"/>
    </xf>
    <xf numFmtId="168" fontId="0" fillId="0" borderId="0" xfId="0" applyNumberFormat="1" applyAlignment="1">
      <alignment wrapText="1"/>
    </xf>
    <xf numFmtId="168" fontId="3" fillId="0" borderId="0" xfId="0" applyNumberFormat="1" applyFont="1" applyAlignment="1">
      <alignment wrapText="1"/>
    </xf>
    <xf numFmtId="168" fontId="5" fillId="0" borderId="0" xfId="0" applyNumberFormat="1" applyFont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2">
    <dxf>
      <font>
        <color rgb="FFA12622"/>
      </font>
      <fill>
        <patternFill patternType="solid">
          <fgColor indexed="64"/>
          <bgColor rgb="FFFCE1DE"/>
        </patternFill>
      </fill>
    </dxf>
    <dxf>
      <font>
        <color rgb="FF176B91"/>
      </font>
      <fill>
        <patternFill patternType="solid">
          <fgColor indexed="64"/>
          <bgColor rgb="FFCDE7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14E32E-9F12-5D4E-8162-22FB723632B1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ed063202-9edf-4f24-adde-7e6225136ca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showGridLines="0" tabSelected="1" workbookViewId="0">
      <pane ySplit="16" topLeftCell="A54" activePane="bottomLeft" state="frozen"/>
      <selection pane="bottomLeft" activeCell="B55" sqref="B55"/>
    </sheetView>
  </sheetViews>
  <sheetFormatPr baseColWidth="10" defaultColWidth="8.83203125" defaultRowHeight="14"/>
  <cols>
    <col min="1" max="1" width="18.33203125" customWidth="1"/>
    <col min="2" max="2" width="39.1640625" customWidth="1"/>
    <col min="3" max="3" width="34.1640625" customWidth="1"/>
    <col min="4" max="8" width="14.1640625" customWidth="1"/>
    <col min="9" max="9" width="2" customWidth="1"/>
    <col min="10" max="23" width="5.33203125" customWidth="1"/>
    <col min="24" max="24" width="2" customWidth="1"/>
    <col min="25" max="25" width="27.5" customWidth="1"/>
    <col min="26" max="26" width="24.1640625" customWidth="1"/>
  </cols>
  <sheetData>
    <row r="1" spans="1:26">
      <c r="A1" s="1"/>
      <c r="B1" s="1"/>
      <c r="C1" s="1"/>
      <c r="D1" s="1"/>
      <c r="E1" s="1"/>
      <c r="F1" s="1"/>
      <c r="G1" s="1"/>
      <c r="H1" s="1"/>
    </row>
    <row r="2" spans="1:26" ht="23">
      <c r="A2" s="28" t="s">
        <v>0</v>
      </c>
      <c r="B2" s="1"/>
      <c r="C2" s="1"/>
      <c r="D2" s="1"/>
      <c r="E2" s="1"/>
      <c r="F2" s="1"/>
      <c r="G2" s="1"/>
      <c r="H2" s="1"/>
    </row>
    <row r="3" spans="1:26">
      <c r="A3" s="1"/>
      <c r="B3" s="1"/>
      <c r="C3" s="1"/>
      <c r="D3" s="1"/>
      <c r="E3" s="1"/>
      <c r="F3" s="1"/>
      <c r="G3" s="1"/>
      <c r="H3" s="1"/>
    </row>
    <row r="4" spans="1:26" ht="30" customHeight="1">
      <c r="A4" s="1" t="s">
        <v>1</v>
      </c>
      <c r="B4" s="23" t="s">
        <v>2</v>
      </c>
      <c r="C4" s="23"/>
      <c r="D4" s="23"/>
      <c r="E4" s="23"/>
      <c r="F4" s="23"/>
      <c r="G4" s="23"/>
      <c r="H4" s="23"/>
      <c r="J4" s="24" t="s">
        <v>86</v>
      </c>
      <c r="K4" s="24"/>
      <c r="L4" s="24"/>
      <c r="M4" s="24"/>
      <c r="N4" s="24"/>
      <c r="O4" s="24"/>
      <c r="P4" s="24"/>
    </row>
    <row r="5" spans="1:26" ht="30" customHeight="1">
      <c r="A5" s="1" t="s">
        <v>3</v>
      </c>
      <c r="B5" s="23" t="s">
        <v>4</v>
      </c>
      <c r="C5" s="23"/>
      <c r="D5" s="23"/>
      <c r="E5" s="23"/>
      <c r="F5" s="23"/>
      <c r="G5" s="23"/>
      <c r="H5" s="23"/>
      <c r="J5" s="27" t="s">
        <v>87</v>
      </c>
      <c r="K5" s="27"/>
      <c r="L5" s="27"/>
      <c r="M5" s="27">
        <f>MAX(F17:F28)</f>
        <v>14</v>
      </c>
      <c r="N5" s="27"/>
      <c r="O5" s="27"/>
      <c r="P5" s="27"/>
    </row>
    <row r="6" spans="1:26" ht="30" customHeight="1">
      <c r="A6" s="1" t="s">
        <v>5</v>
      </c>
      <c r="B6" s="23" t="s">
        <v>6</v>
      </c>
      <c r="C6" s="23"/>
      <c r="D6" s="23"/>
      <c r="E6" s="23"/>
      <c r="F6" s="23"/>
      <c r="G6" s="23"/>
      <c r="H6" s="23"/>
      <c r="J6" s="27" t="s">
        <v>88</v>
      </c>
      <c r="K6" s="27"/>
      <c r="L6" s="27"/>
      <c r="M6" s="27" t="str">
        <f>IF(AND(M5&lt;=14,M8=0),"ON TRACK","REVIEW")</f>
        <v>ON TRACK</v>
      </c>
      <c r="N6" s="27"/>
      <c r="O6" s="27"/>
      <c r="P6" s="27"/>
    </row>
    <row r="7" spans="1:26" ht="30" customHeight="1">
      <c r="A7" s="1" t="s">
        <v>7</v>
      </c>
      <c r="B7" s="10">
        <v>500</v>
      </c>
      <c r="C7" s="1"/>
      <c r="D7" s="1"/>
      <c r="E7" s="1"/>
      <c r="F7" s="1"/>
      <c r="G7" s="1"/>
      <c r="H7" s="1"/>
      <c r="J7" s="27" t="s">
        <v>89</v>
      </c>
      <c r="K7" s="27"/>
      <c r="L7" s="27"/>
      <c r="M7" s="27">
        <f>F26</f>
        <v>13</v>
      </c>
      <c r="N7" s="27"/>
      <c r="O7" s="27"/>
      <c r="P7" s="27"/>
    </row>
    <row r="8" spans="1:26" ht="30" customHeight="1">
      <c r="A8" s="1" t="s">
        <v>8</v>
      </c>
      <c r="B8" s="23" t="s">
        <v>9</v>
      </c>
      <c r="C8" s="23"/>
      <c r="D8" s="23"/>
      <c r="E8" s="23"/>
      <c r="F8" s="23"/>
      <c r="G8" s="23"/>
      <c r="H8" s="23"/>
      <c r="J8" s="27" t="s">
        <v>90</v>
      </c>
      <c r="K8" s="27"/>
      <c r="L8" s="27"/>
      <c r="M8" s="27">
        <f>COUNTIF(Y17:Y28,"CHECK")</f>
        <v>0</v>
      </c>
      <c r="N8" s="27"/>
      <c r="O8" s="27"/>
      <c r="P8" s="27"/>
    </row>
    <row r="9" spans="1:26">
      <c r="A9" s="1"/>
      <c r="B9" s="1"/>
      <c r="C9" s="1"/>
      <c r="D9" s="1"/>
      <c r="E9" s="1"/>
      <c r="F9" s="1"/>
      <c r="G9" s="1"/>
      <c r="H9" s="1"/>
    </row>
    <row r="10" spans="1:26" ht="45" customHeight="1">
      <c r="A10" s="11" t="s">
        <v>10</v>
      </c>
      <c r="B10" s="11" t="s">
        <v>11</v>
      </c>
      <c r="C10" s="11" t="s">
        <v>12</v>
      </c>
      <c r="D10" s="3"/>
      <c r="E10" s="3"/>
      <c r="F10" s="3"/>
      <c r="G10" s="3"/>
      <c r="H10" s="3"/>
    </row>
    <row r="11" spans="1:26" ht="45" customHeight="1">
      <c r="A11" s="4" t="s">
        <v>13</v>
      </c>
      <c r="B11" s="3" t="s">
        <v>14</v>
      </c>
      <c r="C11" s="3" t="s">
        <v>80</v>
      </c>
      <c r="D11" s="3"/>
      <c r="E11" s="3"/>
      <c r="F11" s="3"/>
      <c r="G11" s="3"/>
      <c r="H11" s="3"/>
    </row>
    <row r="12" spans="1:26" ht="45" customHeight="1">
      <c r="A12" s="4" t="s">
        <v>77</v>
      </c>
      <c r="B12" s="3" t="s">
        <v>15</v>
      </c>
      <c r="C12" s="3" t="s">
        <v>16</v>
      </c>
      <c r="D12" s="3"/>
      <c r="E12" s="3"/>
      <c r="F12" s="3"/>
      <c r="G12" s="3"/>
      <c r="H12" s="3"/>
    </row>
    <row r="13" spans="1:26" ht="45" customHeight="1">
      <c r="A13" s="4" t="s">
        <v>78</v>
      </c>
      <c r="B13" s="3" t="s">
        <v>17</v>
      </c>
      <c r="C13" s="3" t="s">
        <v>18</v>
      </c>
      <c r="D13" s="3"/>
      <c r="E13" s="3"/>
      <c r="F13" s="3"/>
      <c r="G13" s="3"/>
      <c r="H13" s="3"/>
    </row>
    <row r="14" spans="1:26" ht="45" customHeight="1">
      <c r="A14" s="4" t="s">
        <v>79</v>
      </c>
      <c r="B14" s="3" t="s">
        <v>19</v>
      </c>
      <c r="C14" s="3" t="s">
        <v>20</v>
      </c>
      <c r="D14" s="3"/>
      <c r="E14" s="3"/>
      <c r="F14" s="3"/>
      <c r="G14" s="3"/>
      <c r="H14" s="3"/>
      <c r="J14" s="13" t="s">
        <v>81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6" ht="15">
      <c r="A15" s="3"/>
      <c r="B15" s="3"/>
      <c r="C15" s="3"/>
      <c r="D15" s="3"/>
      <c r="E15" s="3"/>
      <c r="F15" s="3"/>
      <c r="G15" s="3"/>
      <c r="H15" s="3"/>
      <c r="J15" s="14" t="s">
        <v>82</v>
      </c>
      <c r="K15" s="14"/>
      <c r="L15" s="14"/>
      <c r="M15" s="14"/>
      <c r="N15" s="14"/>
      <c r="O15" s="14"/>
      <c r="P15" s="14"/>
      <c r="Q15" s="15" t="s">
        <v>83</v>
      </c>
      <c r="R15" s="15"/>
      <c r="S15" s="15"/>
      <c r="T15" s="15"/>
      <c r="U15" s="15"/>
      <c r="V15" s="15"/>
      <c r="W15" s="15"/>
    </row>
    <row r="16" spans="1:26" ht="30" customHeight="1">
      <c r="A16" s="11" t="s">
        <v>21</v>
      </c>
      <c r="B16" s="11" t="s">
        <v>22</v>
      </c>
      <c r="C16" s="11" t="s">
        <v>23</v>
      </c>
      <c r="D16" s="11" t="s">
        <v>24</v>
      </c>
      <c r="E16" s="11" t="s">
        <v>25</v>
      </c>
      <c r="F16" s="11" t="s">
        <v>26</v>
      </c>
      <c r="G16" s="11" t="s">
        <v>27</v>
      </c>
      <c r="H16" s="11" t="s">
        <v>28</v>
      </c>
      <c r="J16" s="16">
        <v>1</v>
      </c>
      <c r="K16" s="16">
        <v>2</v>
      </c>
      <c r="L16" s="16">
        <v>3</v>
      </c>
      <c r="M16" s="16">
        <v>4</v>
      </c>
      <c r="N16" s="16">
        <v>5</v>
      </c>
      <c r="O16" s="16">
        <v>6</v>
      </c>
      <c r="P16" s="16">
        <v>7</v>
      </c>
      <c r="Q16" s="16">
        <v>8</v>
      </c>
      <c r="R16" s="16">
        <v>9</v>
      </c>
      <c r="S16" s="16">
        <v>10</v>
      </c>
      <c r="T16" s="16">
        <v>11</v>
      </c>
      <c r="U16" s="16">
        <v>12</v>
      </c>
      <c r="V16" s="16">
        <v>13</v>
      </c>
      <c r="W16" s="16">
        <v>14</v>
      </c>
      <c r="Y16" s="12" t="s">
        <v>84</v>
      </c>
      <c r="Z16" s="12" t="s">
        <v>85</v>
      </c>
    </row>
    <row r="17" spans="1:26" ht="42" customHeight="1">
      <c r="A17" s="3">
        <v>1</v>
      </c>
      <c r="B17" s="3" t="s">
        <v>29</v>
      </c>
      <c r="C17" s="3" t="s">
        <v>14</v>
      </c>
      <c r="D17" s="3">
        <f t="shared" ref="D17:D28" si="0">F17-E17+1</f>
        <v>1</v>
      </c>
      <c r="E17" s="3">
        <v>1</v>
      </c>
      <c r="F17" s="3">
        <v>1</v>
      </c>
      <c r="G17" s="4" t="s">
        <v>30</v>
      </c>
      <c r="H17" s="3" t="s">
        <v>31</v>
      </c>
      <c r="J17" s="17" t="str">
        <f>IF(AND(J$16&gt;=$E17,J$16&lt;=$F17),"■","")</f>
        <v>■</v>
      </c>
      <c r="K17" s="17" t="str">
        <f>IF(AND(K$16&gt;=$E17,K$16&lt;=$F17),"■","")</f>
        <v/>
      </c>
      <c r="L17" s="17" t="str">
        <f>IF(AND(L$16&gt;=$E17,L$16&lt;=$F17),"■","")</f>
        <v/>
      </c>
      <c r="M17" s="17" t="str">
        <f>IF(AND(M$16&gt;=$E17,M$16&lt;=$F17),"■","")</f>
        <v/>
      </c>
      <c r="N17" s="17" t="str">
        <f>IF(AND(N$16&gt;=$E17,N$16&lt;=$F17),"■","")</f>
        <v/>
      </c>
      <c r="O17" s="17" t="str">
        <f>IF(AND(O$16&gt;=$E17,O$16&lt;=$F17),"■","")</f>
        <v/>
      </c>
      <c r="P17" s="17" t="str">
        <f>IF(AND(P$16&gt;=$E17,P$16&lt;=$F17),"■","")</f>
        <v/>
      </c>
      <c r="Q17" s="17" t="str">
        <f>IF(AND(Q$16&gt;=$E17,Q$16&lt;=$F17),"■","")</f>
        <v/>
      </c>
      <c r="R17" s="17" t="str">
        <f>IF(AND(R$16&gt;=$E17,R$16&lt;=$F17),"■","")</f>
        <v/>
      </c>
      <c r="S17" s="17" t="str">
        <f>IF(AND(S$16&gt;=$E17,S$16&lt;=$F17),"■","")</f>
        <v/>
      </c>
      <c r="T17" s="17" t="str">
        <f>IF(AND(T$16&gt;=$E17,T$16&lt;=$F17),"■","")</f>
        <v/>
      </c>
      <c r="U17" s="17" t="str">
        <f>IF(AND(U$16&gt;=$E17,U$16&lt;=$F17),"■","")</f>
        <v/>
      </c>
      <c r="V17" s="17" t="str">
        <f>IF(AND(V$16&gt;=$E17,V$16&lt;=$F17),"■","")</f>
        <v/>
      </c>
      <c r="W17" s="17" t="str">
        <f>IF(AND(W$16&gt;=$E17,W$16&lt;=$F17),"■","")</f>
        <v/>
      </c>
      <c r="Y17" t="str">
        <f>"No predecessor"</f>
        <v>No predecessor</v>
      </c>
      <c r="Z17" t="str">
        <f>$A$11</f>
        <v>Jomar Mena</v>
      </c>
    </row>
    <row r="18" spans="1:26" ht="42" customHeight="1">
      <c r="A18" s="3">
        <v>2</v>
      </c>
      <c r="B18" s="3" t="s">
        <v>32</v>
      </c>
      <c r="C18" s="3" t="s">
        <v>17</v>
      </c>
      <c r="D18" s="3">
        <f t="shared" si="0"/>
        <v>2</v>
      </c>
      <c r="E18" s="3">
        <f>F17+1</f>
        <v>2</v>
      </c>
      <c r="F18" s="3">
        <f>E18+1</f>
        <v>3</v>
      </c>
      <c r="G18" s="4" t="s">
        <v>30</v>
      </c>
      <c r="H18" s="3" t="s">
        <v>33</v>
      </c>
      <c r="J18" s="17" t="str">
        <f>IF(AND(J$16&gt;=$E18,J$16&lt;=$F18),"■","")</f>
        <v/>
      </c>
      <c r="K18" s="17" t="str">
        <f>IF(AND(K$16&gt;=$E18,K$16&lt;=$F18),"■","")</f>
        <v>■</v>
      </c>
      <c r="L18" s="17" t="str">
        <f>IF(AND(L$16&gt;=$E18,L$16&lt;=$F18),"■","")</f>
        <v>■</v>
      </c>
      <c r="M18" s="17" t="str">
        <f>IF(AND(M$16&gt;=$E18,M$16&lt;=$F18),"■","")</f>
        <v/>
      </c>
      <c r="N18" s="17" t="str">
        <f>IF(AND(N$16&gt;=$E18,N$16&lt;=$F18),"■","")</f>
        <v/>
      </c>
      <c r="O18" s="17" t="str">
        <f>IF(AND(O$16&gt;=$E18,O$16&lt;=$F18),"■","")</f>
        <v/>
      </c>
      <c r="P18" s="17" t="str">
        <f>IF(AND(P$16&gt;=$E18,P$16&lt;=$F18),"■","")</f>
        <v/>
      </c>
      <c r="Q18" s="17" t="str">
        <f>IF(AND(Q$16&gt;=$E18,Q$16&lt;=$F18),"■","")</f>
        <v/>
      </c>
      <c r="R18" s="17" t="str">
        <f>IF(AND(R$16&gt;=$E18,R$16&lt;=$F18),"■","")</f>
        <v/>
      </c>
      <c r="S18" s="17" t="str">
        <f>IF(AND(S$16&gt;=$E18,S$16&lt;=$F18),"■","")</f>
        <v/>
      </c>
      <c r="T18" s="17" t="str">
        <f>IF(AND(T$16&gt;=$E18,T$16&lt;=$F18),"■","")</f>
        <v/>
      </c>
      <c r="U18" s="17" t="str">
        <f>IF(AND(U$16&gt;=$E18,U$16&lt;=$F18),"■","")</f>
        <v/>
      </c>
      <c r="V18" s="17" t="str">
        <f>IF(AND(V$16&gt;=$E18,V$16&lt;=$F18),"■","")</f>
        <v/>
      </c>
      <c r="W18" s="17" t="str">
        <f>IF(AND(W$16&gt;=$E18,W$16&lt;=$F18),"■","")</f>
        <v/>
      </c>
      <c r="Y18" t="str">
        <f>IF(E18&gt;MAX(F17),"OK","CHECK")</f>
        <v>OK</v>
      </c>
      <c r="Z18" t="str">
        <f>$A$13</f>
        <v>Sahil Prabhakar</v>
      </c>
    </row>
    <row r="19" spans="1:26" ht="42" customHeight="1">
      <c r="A19" s="3">
        <v>3</v>
      </c>
      <c r="B19" s="3" t="s">
        <v>34</v>
      </c>
      <c r="C19" s="3" t="s">
        <v>35</v>
      </c>
      <c r="D19" s="3">
        <f t="shared" si="0"/>
        <v>2</v>
      </c>
      <c r="E19" s="3">
        <f>F17+1</f>
        <v>2</v>
      </c>
      <c r="F19" s="3">
        <f>E19+1</f>
        <v>3</v>
      </c>
      <c r="G19" s="4" t="s">
        <v>30</v>
      </c>
      <c r="H19" s="3" t="s">
        <v>33</v>
      </c>
      <c r="J19" s="17" t="str">
        <f>IF(AND(J$16&gt;=$E19,J$16&lt;=$F19),"■","")</f>
        <v/>
      </c>
      <c r="K19" s="17" t="str">
        <f>IF(AND(K$16&gt;=$E19,K$16&lt;=$F19),"■","")</f>
        <v>■</v>
      </c>
      <c r="L19" s="17" t="str">
        <f>IF(AND(L$16&gt;=$E19,L$16&lt;=$F19),"■","")</f>
        <v>■</v>
      </c>
      <c r="M19" s="17" t="str">
        <f>IF(AND(M$16&gt;=$E19,M$16&lt;=$F19),"■","")</f>
        <v/>
      </c>
      <c r="N19" s="17" t="str">
        <f>IF(AND(N$16&gt;=$E19,N$16&lt;=$F19),"■","")</f>
        <v/>
      </c>
      <c r="O19" s="17" t="str">
        <f>IF(AND(O$16&gt;=$E19,O$16&lt;=$F19),"■","")</f>
        <v/>
      </c>
      <c r="P19" s="17" t="str">
        <f>IF(AND(P$16&gt;=$E19,P$16&lt;=$F19),"■","")</f>
        <v/>
      </c>
      <c r="Q19" s="17" t="str">
        <f>IF(AND(Q$16&gt;=$E19,Q$16&lt;=$F19),"■","")</f>
        <v/>
      </c>
      <c r="R19" s="17" t="str">
        <f>IF(AND(R$16&gt;=$E19,R$16&lt;=$F19),"■","")</f>
        <v/>
      </c>
      <c r="S19" s="17" t="str">
        <f>IF(AND(S$16&gt;=$E19,S$16&lt;=$F19),"■","")</f>
        <v/>
      </c>
      <c r="T19" s="17" t="str">
        <f>IF(AND(T$16&gt;=$E19,T$16&lt;=$F19),"■","")</f>
        <v/>
      </c>
      <c r="U19" s="17" t="str">
        <f>IF(AND(U$16&gt;=$E19,U$16&lt;=$F19),"■","")</f>
        <v/>
      </c>
      <c r="V19" s="17" t="str">
        <f>IF(AND(V$16&gt;=$E19,V$16&lt;=$F19),"■","")</f>
        <v/>
      </c>
      <c r="W19" s="17" t="str">
        <f>IF(AND(W$16&gt;=$E19,W$16&lt;=$F19),"■","")</f>
        <v/>
      </c>
      <c r="Y19" t="str">
        <f>IF(E19&gt;MAX(F17),"OK","CHECK")</f>
        <v>OK</v>
      </c>
      <c r="Z19" t="str">
        <f>$A$14</f>
        <v>Sagar Prabhakar</v>
      </c>
    </row>
    <row r="20" spans="1:26" ht="42" customHeight="1">
      <c r="A20" s="3">
        <v>4</v>
      </c>
      <c r="B20" s="3" t="s">
        <v>36</v>
      </c>
      <c r="C20" s="3" t="s">
        <v>37</v>
      </c>
      <c r="D20" s="3">
        <f t="shared" si="0"/>
        <v>2</v>
      </c>
      <c r="E20" s="3">
        <f>F18+1</f>
        <v>4</v>
      </c>
      <c r="F20" s="3">
        <f>E20+1</f>
        <v>5</v>
      </c>
      <c r="G20" s="4" t="s">
        <v>30</v>
      </c>
      <c r="H20" s="3" t="s">
        <v>38</v>
      </c>
      <c r="J20" s="17" t="str">
        <f>IF(AND(J$16&gt;=$E20,J$16&lt;=$F20),"■","")</f>
        <v/>
      </c>
      <c r="K20" s="17" t="str">
        <f>IF(AND(K$16&gt;=$E20,K$16&lt;=$F20),"■","")</f>
        <v/>
      </c>
      <c r="L20" s="17" t="str">
        <f>IF(AND(L$16&gt;=$E20,L$16&lt;=$F20),"■","")</f>
        <v/>
      </c>
      <c r="M20" s="17" t="str">
        <f>IF(AND(M$16&gt;=$E20,M$16&lt;=$F20),"■","")</f>
        <v>■</v>
      </c>
      <c r="N20" s="17" t="str">
        <f>IF(AND(N$16&gt;=$E20,N$16&lt;=$F20),"■","")</f>
        <v>■</v>
      </c>
      <c r="O20" s="17" t="str">
        <f>IF(AND(O$16&gt;=$E20,O$16&lt;=$F20),"■","")</f>
        <v/>
      </c>
      <c r="P20" s="17" t="str">
        <f>IF(AND(P$16&gt;=$E20,P$16&lt;=$F20),"■","")</f>
        <v/>
      </c>
      <c r="Q20" s="17" t="str">
        <f>IF(AND(Q$16&gt;=$E20,Q$16&lt;=$F20),"■","")</f>
        <v/>
      </c>
      <c r="R20" s="17" t="str">
        <f>IF(AND(R$16&gt;=$E20,R$16&lt;=$F20),"■","")</f>
        <v/>
      </c>
      <c r="S20" s="17" t="str">
        <f>IF(AND(S$16&gt;=$E20,S$16&lt;=$F20),"■","")</f>
        <v/>
      </c>
      <c r="T20" s="17" t="str">
        <f>IF(AND(T$16&gt;=$E20,T$16&lt;=$F20),"■","")</f>
        <v/>
      </c>
      <c r="U20" s="17" t="str">
        <f>IF(AND(U$16&gt;=$E20,U$16&lt;=$F20),"■","")</f>
        <v/>
      </c>
      <c r="V20" s="17" t="str">
        <f>IF(AND(V$16&gt;=$E20,V$16&lt;=$F20),"■","")</f>
        <v/>
      </c>
      <c r="W20" s="17" t="str">
        <f>IF(AND(W$16&gt;=$E20,W$16&lt;=$F20),"■","")</f>
        <v/>
      </c>
      <c r="Y20" t="str">
        <f>IF(E20&gt;MAX(F18),"OK","CHECK")</f>
        <v>OK</v>
      </c>
      <c r="Z20" t="str">
        <f>$A$12</f>
        <v>Rebecca Semerad</v>
      </c>
    </row>
    <row r="21" spans="1:26" ht="42" customHeight="1">
      <c r="A21" s="3">
        <v>5</v>
      </c>
      <c r="B21" s="3" t="s">
        <v>39</v>
      </c>
      <c r="C21" s="3" t="s">
        <v>35</v>
      </c>
      <c r="D21" s="3">
        <f t="shared" si="0"/>
        <v>2</v>
      </c>
      <c r="E21" s="3">
        <f>MAX(F18,F19)+1</f>
        <v>4</v>
      </c>
      <c r="F21" s="3">
        <f>E21+1</f>
        <v>5</v>
      </c>
      <c r="G21" s="4" t="s">
        <v>30</v>
      </c>
      <c r="H21" s="3" t="s">
        <v>40</v>
      </c>
      <c r="J21" s="17" t="str">
        <f>IF(AND(J$16&gt;=$E21,J$16&lt;=$F21),"■","")</f>
        <v/>
      </c>
      <c r="K21" s="17" t="str">
        <f>IF(AND(K$16&gt;=$E21,K$16&lt;=$F21),"■","")</f>
        <v/>
      </c>
      <c r="L21" s="17" t="str">
        <f>IF(AND(L$16&gt;=$E21,L$16&lt;=$F21),"■","")</f>
        <v/>
      </c>
      <c r="M21" s="17" t="str">
        <f>IF(AND(M$16&gt;=$E21,M$16&lt;=$F21),"■","")</f>
        <v>■</v>
      </c>
      <c r="N21" s="17" t="str">
        <f>IF(AND(N$16&gt;=$E21,N$16&lt;=$F21),"■","")</f>
        <v>■</v>
      </c>
      <c r="O21" s="17" t="str">
        <f>IF(AND(O$16&gt;=$E21,O$16&lt;=$F21),"■","")</f>
        <v/>
      </c>
      <c r="P21" s="17" t="str">
        <f>IF(AND(P$16&gt;=$E21,P$16&lt;=$F21),"■","")</f>
        <v/>
      </c>
      <c r="Q21" s="17" t="str">
        <f>IF(AND(Q$16&gt;=$E21,Q$16&lt;=$F21),"■","")</f>
        <v/>
      </c>
      <c r="R21" s="17" t="str">
        <f>IF(AND(R$16&gt;=$E21,R$16&lt;=$F21),"■","")</f>
        <v/>
      </c>
      <c r="S21" s="17" t="str">
        <f>IF(AND(S$16&gt;=$E21,S$16&lt;=$F21),"■","")</f>
        <v/>
      </c>
      <c r="T21" s="17" t="str">
        <f>IF(AND(T$16&gt;=$E21,T$16&lt;=$F21),"■","")</f>
        <v/>
      </c>
      <c r="U21" s="17" t="str">
        <f>IF(AND(U$16&gt;=$E21,U$16&lt;=$F21),"■","")</f>
        <v/>
      </c>
      <c r="V21" s="17" t="str">
        <f>IF(AND(V$16&gt;=$E21,V$16&lt;=$F21),"■","")</f>
        <v/>
      </c>
      <c r="W21" s="17" t="str">
        <f>IF(AND(W$16&gt;=$E21,W$16&lt;=$F21),"■","")</f>
        <v/>
      </c>
      <c r="Y21" t="str">
        <f>IF(E21&gt;MAX(F18,F19),"OK","CHECK")</f>
        <v>OK</v>
      </c>
      <c r="Z21" t="str">
        <f>$A$14</f>
        <v>Sagar Prabhakar</v>
      </c>
    </row>
    <row r="22" spans="1:26" ht="42" customHeight="1">
      <c r="A22" s="3">
        <v>6</v>
      </c>
      <c r="B22" s="3" t="s">
        <v>41</v>
      </c>
      <c r="C22" s="3" t="s">
        <v>35</v>
      </c>
      <c r="D22" s="3">
        <f t="shared" si="0"/>
        <v>3</v>
      </c>
      <c r="E22" s="3">
        <v>5</v>
      </c>
      <c r="F22" s="3">
        <v>7</v>
      </c>
      <c r="G22" s="4" t="s">
        <v>30</v>
      </c>
      <c r="H22" s="3" t="s">
        <v>33</v>
      </c>
      <c r="J22" s="17" t="str">
        <f>IF(AND(J$16&gt;=$E22,J$16&lt;=$F22),"■","")</f>
        <v/>
      </c>
      <c r="K22" s="17" t="str">
        <f>IF(AND(K$16&gt;=$E22,K$16&lt;=$F22),"■","")</f>
        <v/>
      </c>
      <c r="L22" s="17" t="str">
        <f>IF(AND(L$16&gt;=$E22,L$16&lt;=$F22),"■","")</f>
        <v/>
      </c>
      <c r="M22" s="17" t="str">
        <f>IF(AND(M$16&gt;=$E22,M$16&lt;=$F22),"■","")</f>
        <v/>
      </c>
      <c r="N22" s="17" t="str">
        <f>IF(AND(N$16&gt;=$E22,N$16&lt;=$F22),"■","")</f>
        <v>■</v>
      </c>
      <c r="O22" s="17" t="str">
        <f>IF(AND(O$16&gt;=$E22,O$16&lt;=$F22),"■","")</f>
        <v>■</v>
      </c>
      <c r="P22" s="17" t="str">
        <f>IF(AND(P$16&gt;=$E22,P$16&lt;=$F22),"■","")</f>
        <v>■</v>
      </c>
      <c r="Q22" s="17" t="str">
        <f>IF(AND(Q$16&gt;=$E22,Q$16&lt;=$F22),"■","")</f>
        <v/>
      </c>
      <c r="R22" s="17" t="str">
        <f>IF(AND(R$16&gt;=$E22,R$16&lt;=$F22),"■","")</f>
        <v/>
      </c>
      <c r="S22" s="17" t="str">
        <f>IF(AND(S$16&gt;=$E22,S$16&lt;=$F22),"■","")</f>
        <v/>
      </c>
      <c r="T22" s="17" t="str">
        <f>IF(AND(T$16&gt;=$E22,T$16&lt;=$F22),"■","")</f>
        <v/>
      </c>
      <c r="U22" s="17" t="str">
        <f>IF(AND(U$16&gt;=$E22,U$16&lt;=$F22),"■","")</f>
        <v/>
      </c>
      <c r="V22" s="17" t="str">
        <f>IF(AND(V$16&gt;=$E22,V$16&lt;=$F22),"■","")</f>
        <v/>
      </c>
      <c r="W22" s="17" t="str">
        <f>IF(AND(W$16&gt;=$E22,W$16&lt;=$F22),"■","")</f>
        <v/>
      </c>
      <c r="Y22" t="str">
        <f>IF(E22&gt;MAX(F17),"OK","CHECK")</f>
        <v>OK</v>
      </c>
      <c r="Z22" t="str">
        <f>$A$14</f>
        <v>Sagar Prabhakar</v>
      </c>
    </row>
    <row r="23" spans="1:26" ht="42" customHeight="1">
      <c r="A23" s="3">
        <v>7</v>
      </c>
      <c r="B23" s="3" t="s">
        <v>42</v>
      </c>
      <c r="C23" s="3" t="s">
        <v>14</v>
      </c>
      <c r="D23" s="3">
        <f t="shared" si="0"/>
        <v>5</v>
      </c>
      <c r="E23" s="3">
        <f>F21+1</f>
        <v>6</v>
      </c>
      <c r="F23" s="3">
        <v>10</v>
      </c>
      <c r="G23" s="4" t="s">
        <v>30</v>
      </c>
      <c r="H23" s="3" t="s">
        <v>43</v>
      </c>
      <c r="J23" s="17" t="str">
        <f>IF(AND(J$16&gt;=$E23,J$16&lt;=$F23),"■","")</f>
        <v/>
      </c>
      <c r="K23" s="17" t="str">
        <f>IF(AND(K$16&gt;=$E23,K$16&lt;=$F23),"■","")</f>
        <v/>
      </c>
      <c r="L23" s="17" t="str">
        <f>IF(AND(L$16&gt;=$E23,L$16&lt;=$F23),"■","")</f>
        <v/>
      </c>
      <c r="M23" s="17" t="str">
        <f>IF(AND(M$16&gt;=$E23,M$16&lt;=$F23),"■","")</f>
        <v/>
      </c>
      <c r="N23" s="17" t="str">
        <f>IF(AND(N$16&gt;=$E23,N$16&lt;=$F23),"■","")</f>
        <v/>
      </c>
      <c r="O23" s="17" t="str">
        <f>IF(AND(O$16&gt;=$E23,O$16&lt;=$F23),"■","")</f>
        <v>■</v>
      </c>
      <c r="P23" s="17" t="str">
        <f>IF(AND(P$16&gt;=$E23,P$16&lt;=$F23),"■","")</f>
        <v>■</v>
      </c>
      <c r="Q23" s="17" t="str">
        <f>IF(AND(Q$16&gt;=$E23,Q$16&lt;=$F23),"■","")</f>
        <v>■</v>
      </c>
      <c r="R23" s="17" t="str">
        <f>IF(AND(R$16&gt;=$E23,R$16&lt;=$F23),"■","")</f>
        <v>■</v>
      </c>
      <c r="S23" s="17" t="str">
        <f>IF(AND(S$16&gt;=$E23,S$16&lt;=$F23),"■","")</f>
        <v>■</v>
      </c>
      <c r="T23" s="17" t="str">
        <f>IF(AND(T$16&gt;=$E23,T$16&lt;=$F23),"■","")</f>
        <v/>
      </c>
      <c r="U23" s="17" t="str">
        <f>IF(AND(U$16&gt;=$E23,U$16&lt;=$F23),"■","")</f>
        <v/>
      </c>
      <c r="V23" s="17" t="str">
        <f>IF(AND(V$16&gt;=$E23,V$16&lt;=$F23),"■","")</f>
        <v/>
      </c>
      <c r="W23" s="17" t="str">
        <f>IF(AND(W$16&gt;=$E23,W$16&lt;=$F23),"■","")</f>
        <v/>
      </c>
      <c r="Y23" t="str">
        <f>IF(E23&gt;MAX(F21),"OK","CHECK")</f>
        <v>OK</v>
      </c>
      <c r="Z23" t="str">
        <f>$A$11</f>
        <v>Jomar Mena</v>
      </c>
    </row>
    <row r="24" spans="1:26" ht="42" customHeight="1">
      <c r="A24" s="3">
        <v>8</v>
      </c>
      <c r="B24" s="3" t="s">
        <v>44</v>
      </c>
      <c r="C24" s="3" t="s">
        <v>17</v>
      </c>
      <c r="D24" s="3">
        <f t="shared" si="0"/>
        <v>1</v>
      </c>
      <c r="E24" s="3">
        <f>F23+1</f>
        <v>11</v>
      </c>
      <c r="F24" s="3">
        <f>E24</f>
        <v>11</v>
      </c>
      <c r="G24" s="4" t="s">
        <v>30</v>
      </c>
      <c r="H24" s="3" t="s">
        <v>45</v>
      </c>
      <c r="J24" s="17" t="str">
        <f>IF(AND(J$16&gt;=$E24,J$16&lt;=$F24),"■","")</f>
        <v/>
      </c>
      <c r="K24" s="17" t="str">
        <f>IF(AND(K$16&gt;=$E24,K$16&lt;=$F24),"■","")</f>
        <v/>
      </c>
      <c r="L24" s="17" t="str">
        <f>IF(AND(L$16&gt;=$E24,L$16&lt;=$F24),"■","")</f>
        <v/>
      </c>
      <c r="M24" s="17" t="str">
        <f>IF(AND(M$16&gt;=$E24,M$16&lt;=$F24),"■","")</f>
        <v/>
      </c>
      <c r="N24" s="17" t="str">
        <f>IF(AND(N$16&gt;=$E24,N$16&lt;=$F24),"■","")</f>
        <v/>
      </c>
      <c r="O24" s="17" t="str">
        <f>IF(AND(O$16&gt;=$E24,O$16&lt;=$F24),"■","")</f>
        <v/>
      </c>
      <c r="P24" s="17" t="str">
        <f>IF(AND(P$16&gt;=$E24,P$16&lt;=$F24),"■","")</f>
        <v/>
      </c>
      <c r="Q24" s="17" t="str">
        <f>IF(AND(Q$16&gt;=$E24,Q$16&lt;=$F24),"■","")</f>
        <v/>
      </c>
      <c r="R24" s="17" t="str">
        <f>IF(AND(R$16&gt;=$E24,R$16&lt;=$F24),"■","")</f>
        <v/>
      </c>
      <c r="S24" s="17" t="str">
        <f>IF(AND(S$16&gt;=$E24,S$16&lt;=$F24),"■","")</f>
        <v/>
      </c>
      <c r="T24" s="17" t="str">
        <f>IF(AND(T$16&gt;=$E24,T$16&lt;=$F24),"■","")</f>
        <v>■</v>
      </c>
      <c r="U24" s="17" t="str">
        <f>IF(AND(U$16&gt;=$E24,U$16&lt;=$F24),"■","")</f>
        <v/>
      </c>
      <c r="V24" s="17" t="str">
        <f>IF(AND(V$16&gt;=$E24,V$16&lt;=$F24),"■","")</f>
        <v/>
      </c>
      <c r="W24" s="17" t="str">
        <f>IF(AND(W$16&gt;=$E24,W$16&lt;=$F24),"■","")</f>
        <v/>
      </c>
      <c r="Y24" t="str">
        <f>IF(E24&gt;MAX(F23),"OK","CHECK")</f>
        <v>OK</v>
      </c>
      <c r="Z24" t="str">
        <f>$A$13</f>
        <v>Sahil Prabhakar</v>
      </c>
    </row>
    <row r="25" spans="1:26" ht="42" customHeight="1">
      <c r="A25" s="3">
        <v>9</v>
      </c>
      <c r="B25" s="3" t="s">
        <v>46</v>
      </c>
      <c r="C25" s="3" t="s">
        <v>17</v>
      </c>
      <c r="D25" s="3">
        <f t="shared" si="0"/>
        <v>1</v>
      </c>
      <c r="E25" s="3">
        <f>MAX(F20,F24)+1</f>
        <v>12</v>
      </c>
      <c r="F25" s="3">
        <f>E25</f>
        <v>12</v>
      </c>
      <c r="G25" s="4" t="s">
        <v>30</v>
      </c>
      <c r="H25" s="3" t="s">
        <v>47</v>
      </c>
      <c r="J25" s="17" t="str">
        <f>IF(AND(J$16&gt;=$E25,J$16&lt;=$F25),"■","")</f>
        <v/>
      </c>
      <c r="K25" s="17" t="str">
        <f>IF(AND(K$16&gt;=$E25,K$16&lt;=$F25),"■","")</f>
        <v/>
      </c>
      <c r="L25" s="17" t="str">
        <f>IF(AND(L$16&gt;=$E25,L$16&lt;=$F25),"■","")</f>
        <v/>
      </c>
      <c r="M25" s="17" t="str">
        <f>IF(AND(M$16&gt;=$E25,M$16&lt;=$F25),"■","")</f>
        <v/>
      </c>
      <c r="N25" s="17" t="str">
        <f>IF(AND(N$16&gt;=$E25,N$16&lt;=$F25),"■","")</f>
        <v/>
      </c>
      <c r="O25" s="17" t="str">
        <f>IF(AND(O$16&gt;=$E25,O$16&lt;=$F25),"■","")</f>
        <v/>
      </c>
      <c r="P25" s="17" t="str">
        <f>IF(AND(P$16&gt;=$E25,P$16&lt;=$F25),"■","")</f>
        <v/>
      </c>
      <c r="Q25" s="17" t="str">
        <f>IF(AND(Q$16&gt;=$E25,Q$16&lt;=$F25),"■","")</f>
        <v/>
      </c>
      <c r="R25" s="17" t="str">
        <f>IF(AND(R$16&gt;=$E25,R$16&lt;=$F25),"■","")</f>
        <v/>
      </c>
      <c r="S25" s="17" t="str">
        <f>IF(AND(S$16&gt;=$E25,S$16&lt;=$F25),"■","")</f>
        <v/>
      </c>
      <c r="T25" s="17" t="str">
        <f>IF(AND(T$16&gt;=$E25,T$16&lt;=$F25),"■","")</f>
        <v/>
      </c>
      <c r="U25" s="17" t="str">
        <f>IF(AND(U$16&gt;=$E25,U$16&lt;=$F25),"■","")</f>
        <v>■</v>
      </c>
      <c r="V25" s="17" t="str">
        <f>IF(AND(V$16&gt;=$E25,V$16&lt;=$F25),"■","")</f>
        <v/>
      </c>
      <c r="W25" s="17" t="str">
        <f>IF(AND(W$16&gt;=$E25,W$16&lt;=$F25),"■","")</f>
        <v/>
      </c>
      <c r="Y25" t="str">
        <f>IF(E25&gt;MAX(F20,F24),"OK","CHECK")</f>
        <v>OK</v>
      </c>
      <c r="Z25" t="str">
        <f>$A$13</f>
        <v>Sahil Prabhakar</v>
      </c>
    </row>
    <row r="26" spans="1:26" ht="42" customHeight="1">
      <c r="A26" s="3">
        <v>10</v>
      </c>
      <c r="B26" s="3" t="s">
        <v>48</v>
      </c>
      <c r="C26" s="3" t="s">
        <v>14</v>
      </c>
      <c r="D26" s="3">
        <f t="shared" si="0"/>
        <v>1</v>
      </c>
      <c r="E26" s="3">
        <f>MAX(F22,F25)+1</f>
        <v>13</v>
      </c>
      <c r="F26" s="3">
        <f>E26</f>
        <v>13</v>
      </c>
      <c r="G26" s="4" t="s">
        <v>30</v>
      </c>
      <c r="H26" s="3" t="s">
        <v>49</v>
      </c>
      <c r="J26" s="17" t="str">
        <f>IF(AND(J$16&gt;=$E26,J$16&lt;=$F26),"■","")</f>
        <v/>
      </c>
      <c r="K26" s="17" t="str">
        <f>IF(AND(K$16&gt;=$E26,K$16&lt;=$F26),"■","")</f>
        <v/>
      </c>
      <c r="L26" s="17" t="str">
        <f>IF(AND(L$16&gt;=$E26,L$16&lt;=$F26),"■","")</f>
        <v/>
      </c>
      <c r="M26" s="17" t="str">
        <f>IF(AND(M$16&gt;=$E26,M$16&lt;=$F26),"■","")</f>
        <v/>
      </c>
      <c r="N26" s="17" t="str">
        <f>IF(AND(N$16&gt;=$E26,N$16&lt;=$F26),"■","")</f>
        <v/>
      </c>
      <c r="O26" s="17" t="str">
        <f>IF(AND(O$16&gt;=$E26,O$16&lt;=$F26),"■","")</f>
        <v/>
      </c>
      <c r="P26" s="17" t="str">
        <f>IF(AND(P$16&gt;=$E26,P$16&lt;=$F26),"■","")</f>
        <v/>
      </c>
      <c r="Q26" s="17" t="str">
        <f>IF(AND(Q$16&gt;=$E26,Q$16&lt;=$F26),"■","")</f>
        <v/>
      </c>
      <c r="R26" s="17" t="str">
        <f>IF(AND(R$16&gt;=$E26,R$16&lt;=$F26),"■","")</f>
        <v/>
      </c>
      <c r="S26" s="17" t="str">
        <f>IF(AND(S$16&gt;=$E26,S$16&lt;=$F26),"■","")</f>
        <v/>
      </c>
      <c r="T26" s="17" t="str">
        <f>IF(AND(T$16&gt;=$E26,T$16&lt;=$F26),"■","")</f>
        <v/>
      </c>
      <c r="U26" s="17" t="str">
        <f>IF(AND(U$16&gt;=$E26,U$16&lt;=$F26),"■","")</f>
        <v/>
      </c>
      <c r="V26" s="17" t="str">
        <f>IF(AND(V$16&gt;=$E26,V$16&lt;=$F26),"■","")</f>
        <v>■</v>
      </c>
      <c r="W26" s="17" t="str">
        <f>IF(AND(W$16&gt;=$E26,W$16&lt;=$F26),"■","")</f>
        <v/>
      </c>
      <c r="Y26" t="str">
        <f>IF(E26&gt;MAX(F22,F25),"OK","CHECK")</f>
        <v>OK</v>
      </c>
      <c r="Z26" t="str">
        <f>$A$11</f>
        <v>Jomar Mena</v>
      </c>
    </row>
    <row r="27" spans="1:26" ht="42" customHeight="1">
      <c r="A27" s="3">
        <v>11</v>
      </c>
      <c r="B27" s="3" t="s">
        <v>50</v>
      </c>
      <c r="C27" s="3" t="s">
        <v>37</v>
      </c>
      <c r="D27" s="3">
        <f t="shared" si="0"/>
        <v>1</v>
      </c>
      <c r="E27" s="3">
        <f>MAX(F20,F24,F25,13)+1</f>
        <v>14</v>
      </c>
      <c r="F27" s="3">
        <f>E27</f>
        <v>14</v>
      </c>
      <c r="G27" s="4" t="s">
        <v>30</v>
      </c>
      <c r="H27" s="3" t="s">
        <v>51</v>
      </c>
      <c r="J27" s="17" t="str">
        <f>IF(AND(J$16&gt;=$E27,J$16&lt;=$F27),"■","")</f>
        <v/>
      </c>
      <c r="K27" s="17" t="str">
        <f>IF(AND(K$16&gt;=$E27,K$16&lt;=$F27),"■","")</f>
        <v/>
      </c>
      <c r="L27" s="17" t="str">
        <f>IF(AND(L$16&gt;=$E27,L$16&lt;=$F27),"■","")</f>
        <v/>
      </c>
      <c r="M27" s="17" t="str">
        <f>IF(AND(M$16&gt;=$E27,M$16&lt;=$F27),"■","")</f>
        <v/>
      </c>
      <c r="N27" s="17" t="str">
        <f>IF(AND(N$16&gt;=$E27,N$16&lt;=$F27),"■","")</f>
        <v/>
      </c>
      <c r="O27" s="17" t="str">
        <f>IF(AND(O$16&gt;=$E27,O$16&lt;=$F27),"■","")</f>
        <v/>
      </c>
      <c r="P27" s="17" t="str">
        <f>IF(AND(P$16&gt;=$E27,P$16&lt;=$F27),"■","")</f>
        <v/>
      </c>
      <c r="Q27" s="17" t="str">
        <f>IF(AND(Q$16&gt;=$E27,Q$16&lt;=$F27),"■","")</f>
        <v/>
      </c>
      <c r="R27" s="17" t="str">
        <f>IF(AND(R$16&gt;=$E27,R$16&lt;=$F27),"■","")</f>
        <v/>
      </c>
      <c r="S27" s="17" t="str">
        <f>IF(AND(S$16&gt;=$E27,S$16&lt;=$F27),"■","")</f>
        <v/>
      </c>
      <c r="T27" s="17" t="str">
        <f>IF(AND(T$16&gt;=$E27,T$16&lt;=$F27),"■","")</f>
        <v/>
      </c>
      <c r="U27" s="17" t="str">
        <f>IF(AND(U$16&gt;=$E27,U$16&lt;=$F27),"■","")</f>
        <v/>
      </c>
      <c r="V27" s="17" t="str">
        <f>IF(AND(V$16&gt;=$E27,V$16&lt;=$F27),"■","")</f>
        <v/>
      </c>
      <c r="W27" s="17" t="str">
        <f>IF(AND(W$16&gt;=$E27,W$16&lt;=$F27),"■","")</f>
        <v>■</v>
      </c>
      <c r="Y27" t="str">
        <f>IF(E27&gt;MAX(F20,F24,F25),"OK","CHECK")</f>
        <v>OK</v>
      </c>
      <c r="Z27" t="str">
        <f>$A$12</f>
        <v>Rebecca Semerad</v>
      </c>
    </row>
    <row r="28" spans="1:26" ht="42" customHeight="1">
      <c r="A28" s="3">
        <v>12</v>
      </c>
      <c r="B28" s="3" t="s">
        <v>52</v>
      </c>
      <c r="C28" s="3" t="s">
        <v>17</v>
      </c>
      <c r="D28" s="3">
        <f t="shared" si="0"/>
        <v>1</v>
      </c>
      <c r="E28" s="3">
        <f>MAX(F26+1,F27)</f>
        <v>14</v>
      </c>
      <c r="F28" s="3">
        <f>E28</f>
        <v>14</v>
      </c>
      <c r="G28" s="4" t="s">
        <v>30</v>
      </c>
      <c r="H28" s="3" t="s">
        <v>53</v>
      </c>
      <c r="J28" s="17" t="str">
        <f>IF(AND(J$16&gt;=$E28,J$16&lt;=$F28),"■","")</f>
        <v/>
      </c>
      <c r="K28" s="17" t="str">
        <f>IF(AND(K$16&gt;=$E28,K$16&lt;=$F28),"■","")</f>
        <v/>
      </c>
      <c r="L28" s="17" t="str">
        <f>IF(AND(L$16&gt;=$E28,L$16&lt;=$F28),"■","")</f>
        <v/>
      </c>
      <c r="M28" s="17" t="str">
        <f>IF(AND(M$16&gt;=$E28,M$16&lt;=$F28),"■","")</f>
        <v/>
      </c>
      <c r="N28" s="17" t="str">
        <f>IF(AND(N$16&gt;=$E28,N$16&lt;=$F28),"■","")</f>
        <v/>
      </c>
      <c r="O28" s="17" t="str">
        <f>IF(AND(O$16&gt;=$E28,O$16&lt;=$F28),"■","")</f>
        <v/>
      </c>
      <c r="P28" s="17" t="str">
        <f>IF(AND(P$16&gt;=$E28,P$16&lt;=$F28),"■","")</f>
        <v/>
      </c>
      <c r="Q28" s="17" t="str">
        <f>IF(AND(Q$16&gt;=$E28,Q$16&lt;=$F28),"■","")</f>
        <v/>
      </c>
      <c r="R28" s="17" t="str">
        <f>IF(AND(R$16&gt;=$E28,R$16&lt;=$F28),"■","")</f>
        <v/>
      </c>
      <c r="S28" s="17" t="str">
        <f>IF(AND(S$16&gt;=$E28,S$16&lt;=$F28),"■","")</f>
        <v/>
      </c>
      <c r="T28" s="17" t="str">
        <f>IF(AND(T$16&gt;=$E28,T$16&lt;=$F28),"■","")</f>
        <v/>
      </c>
      <c r="U28" s="17" t="str">
        <f>IF(AND(U$16&gt;=$E28,U$16&lt;=$F28),"■","")</f>
        <v/>
      </c>
      <c r="V28" s="17" t="str">
        <f>IF(AND(V$16&gt;=$E28,V$16&lt;=$F28),"■","")</f>
        <v/>
      </c>
      <c r="W28" s="17" t="str">
        <f>IF(AND(W$16&gt;=$E28,W$16&lt;=$F28),"■","")</f>
        <v>■</v>
      </c>
      <c r="Y28" t="str">
        <f>IF(AND(E28&gt;F26,E28&gt;=F27),"OK • buy before setup","CHECK")</f>
        <v>OK • buy before setup</v>
      </c>
      <c r="Z28" t="str">
        <f>$A$13</f>
        <v>Sahil Prabhakar</v>
      </c>
    </row>
    <row r="29" spans="1:26">
      <c r="A29" s="1"/>
      <c r="B29" s="1"/>
      <c r="C29" s="1"/>
      <c r="D29" s="1"/>
      <c r="E29" s="1"/>
      <c r="F29" s="1"/>
      <c r="G29" s="1"/>
      <c r="H29" s="1"/>
    </row>
    <row r="30" spans="1:26" ht="33" customHeight="1">
      <c r="A30" s="1"/>
      <c r="B30" s="23" t="s">
        <v>91</v>
      </c>
      <c r="C30" s="23"/>
      <c r="D30" s="23"/>
      <c r="E30" s="23"/>
      <c r="F30" s="23"/>
      <c r="G30" s="23"/>
      <c r="H30" s="23"/>
    </row>
    <row r="31" spans="1:26" ht="33" customHeight="1">
      <c r="A31" s="1"/>
      <c r="B31" s="23" t="s">
        <v>92</v>
      </c>
      <c r="C31" s="23"/>
      <c r="D31" s="23"/>
      <c r="E31" s="23"/>
      <c r="F31" s="23"/>
      <c r="G31" s="23"/>
      <c r="H31" s="23"/>
    </row>
    <row r="32" spans="1:26" ht="33" customHeight="1">
      <c r="A32" s="1"/>
      <c r="B32" s="23" t="s">
        <v>54</v>
      </c>
      <c r="C32" s="23"/>
      <c r="D32" s="23"/>
      <c r="E32" s="23"/>
      <c r="F32" s="23"/>
      <c r="G32" s="23"/>
      <c r="H32" s="23"/>
    </row>
    <row r="33" spans="1:8" ht="33" customHeight="1">
      <c r="A33" s="1"/>
      <c r="B33" s="23" t="s">
        <v>55</v>
      </c>
      <c r="C33" s="23"/>
      <c r="D33" s="23"/>
      <c r="E33" s="23"/>
      <c r="F33" s="23"/>
      <c r="G33" s="23"/>
      <c r="H33" s="23"/>
    </row>
    <row r="34" spans="1:8" ht="33" customHeight="1">
      <c r="A34" s="1"/>
      <c r="B34" s="23" t="s">
        <v>93</v>
      </c>
      <c r="C34" s="23"/>
      <c r="D34" s="23"/>
      <c r="E34" s="23"/>
      <c r="F34" s="23"/>
      <c r="G34" s="23"/>
      <c r="H34" s="23"/>
    </row>
    <row r="35" spans="1:8" ht="33" customHeight="1">
      <c r="A35" s="1"/>
      <c r="B35" s="23" t="s">
        <v>56</v>
      </c>
      <c r="C35" s="23"/>
      <c r="D35" s="23"/>
      <c r="E35" s="23"/>
      <c r="F35" s="23"/>
      <c r="G35" s="23"/>
      <c r="H35" s="23"/>
    </row>
    <row r="36" spans="1:8" ht="33" customHeight="1">
      <c r="A36" s="1"/>
      <c r="B36" s="23" t="s">
        <v>94</v>
      </c>
      <c r="C36" s="23"/>
      <c r="D36" s="23"/>
      <c r="E36" s="23"/>
      <c r="F36" s="23"/>
      <c r="G36" s="23"/>
      <c r="H36" s="23"/>
    </row>
    <row r="37" spans="1:8" ht="33" customHeight="1">
      <c r="A37" s="1"/>
      <c r="B37" s="23" t="s">
        <v>95</v>
      </c>
      <c r="C37" s="23"/>
      <c r="D37" s="23"/>
      <c r="E37" s="23"/>
      <c r="F37" s="23"/>
      <c r="G37" s="23"/>
      <c r="H37" s="23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25" t="s">
        <v>121</v>
      </c>
      <c r="B40" s="25"/>
      <c r="C40" s="25"/>
      <c r="D40" s="25"/>
      <c r="E40" s="1"/>
      <c r="F40" s="1"/>
      <c r="G40" s="1"/>
      <c r="H40" s="1"/>
    </row>
    <row r="41" spans="1:8" ht="42" customHeight="1">
      <c r="A41" s="11" t="s">
        <v>10</v>
      </c>
      <c r="B41" s="11" t="s">
        <v>11</v>
      </c>
      <c r="C41" s="11" t="s">
        <v>122</v>
      </c>
      <c r="D41" s="11" t="s">
        <v>123</v>
      </c>
      <c r="E41" s="1"/>
      <c r="F41" s="1"/>
      <c r="G41" s="1"/>
      <c r="H41" s="1"/>
    </row>
    <row r="42" spans="1:8" ht="42" customHeight="1">
      <c r="A42" s="3" t="str">
        <f>A11</f>
        <v>Jomar Mena</v>
      </c>
      <c r="B42" s="3" t="str">
        <f>B11</f>
        <v>Project Manager</v>
      </c>
      <c r="C42" s="3">
        <f>COUNTIF($Z$17:$Z$28,A42)</f>
        <v>3</v>
      </c>
      <c r="D42" s="3">
        <f>SUMIF($Z$17:$Z$28,A42,$D$17:$D$28)</f>
        <v>7</v>
      </c>
      <c r="E42" s="1"/>
      <c r="F42" s="1"/>
      <c r="G42" s="1"/>
      <c r="H42" s="1"/>
    </row>
    <row r="43" spans="1:8" ht="42" customHeight="1">
      <c r="A43" s="3" t="str">
        <f>A12</f>
        <v>Rebecca Semerad</v>
      </c>
      <c r="B43" s="3" t="str">
        <f>B12</f>
        <v>Budget and Resources Manager</v>
      </c>
      <c r="C43" s="3">
        <f>COUNTIF($Z$17:$Z$28,A43)</f>
        <v>2</v>
      </c>
      <c r="D43" s="3">
        <f>SUMIF($Z$17:$Z$28,A43,$D$17:$D$28)</f>
        <v>3</v>
      </c>
      <c r="E43" s="1"/>
      <c r="F43" s="1"/>
      <c r="G43" s="1"/>
      <c r="H43" s="1"/>
    </row>
    <row r="44" spans="1:8" ht="42" customHeight="1">
      <c r="A44" s="3" t="str">
        <f>A13</f>
        <v>Sahil Prabhakar</v>
      </c>
      <c r="B44" s="3" t="str">
        <f>B13</f>
        <v>Event Coordinator</v>
      </c>
      <c r="C44" s="3">
        <f>COUNTIF($Z$17:$Z$28,A44)</f>
        <v>4</v>
      </c>
      <c r="D44" s="3">
        <f>SUMIF($Z$17:$Z$28,A44,$D$17:$D$28)</f>
        <v>5</v>
      </c>
      <c r="E44" s="1"/>
      <c r="F44" s="1"/>
      <c r="G44" s="1"/>
      <c r="H44" s="1"/>
    </row>
    <row r="45" spans="1:8" ht="42" customHeight="1">
      <c r="A45" s="3" t="str">
        <f>A14</f>
        <v>Sagar Prabhakar</v>
      </c>
      <c r="B45" s="3" t="str">
        <f>B14</f>
        <v>Communications and Presentation Lead</v>
      </c>
      <c r="C45" s="3">
        <f>COUNTIF($Z$17:$Z$28,A45)</f>
        <v>3</v>
      </c>
      <c r="D45" s="3">
        <f>SUMIF($Z$17:$Z$28,A45,$D$17:$D$28)</f>
        <v>7</v>
      </c>
      <c r="E45" s="1"/>
      <c r="F45" s="1"/>
      <c r="G45" s="1"/>
      <c r="H45" s="1"/>
    </row>
    <row r="47" spans="1:8" ht="45" customHeight="1">
      <c r="B47" s="20" t="s">
        <v>124</v>
      </c>
      <c r="C47" s="20"/>
      <c r="D47" s="20"/>
      <c r="E47" s="20"/>
      <c r="F47" s="20"/>
      <c r="G47" s="20"/>
      <c r="H47" s="20"/>
    </row>
    <row r="48" spans="1:8" ht="45" customHeight="1">
      <c r="B48" s="20" t="str">
        <f>"Feasibility: prep finishes Day "&amp;M7&amp;"; event Day "&amp;M5&amp;". No full-day buffer follows rehearsal. Current spending "&amp;TEXT(SUM('Budget &amp; Risks'!D8:D16),"$0.00")&amp;" plus "&amp;TEXT('Budget &amp; Risks'!I10,"$0.00")&amp;" reserve; reduce optional work if delays or price increases occur."</f>
        <v>Feasibility: prep finishes Day 13; event Day 14. No full-day buffer follows rehearsal. Current spending $485.00 plus $15.00 reserve; reduce optional work if delays or price increases occur.</v>
      </c>
      <c r="C48" s="20"/>
      <c r="D48" s="20"/>
      <c r="E48" s="20"/>
      <c r="F48" s="20"/>
      <c r="G48" s="20"/>
      <c r="H48" s="20"/>
    </row>
    <row r="49" spans="1:8" ht="45" customHeight="1">
      <c r="B49" s="20" t="s">
        <v>125</v>
      </c>
      <c r="C49" s="20"/>
      <c r="D49" s="20"/>
      <c r="E49" s="20"/>
      <c r="F49" s="20"/>
      <c r="G49" s="20"/>
      <c r="H49" s="20"/>
    </row>
    <row r="51" spans="1:8" ht="45" customHeight="1">
      <c r="B51" s="21"/>
      <c r="C51" s="21"/>
      <c r="D51" s="21"/>
      <c r="E51" s="21"/>
      <c r="F51" s="21"/>
      <c r="G51" s="21"/>
      <c r="H51" s="21"/>
    </row>
    <row r="52" spans="1:8" ht="45" customHeight="1">
      <c r="B52" s="22"/>
      <c r="C52" s="21"/>
      <c r="D52" s="21"/>
      <c r="E52" s="21"/>
      <c r="F52" s="21"/>
      <c r="G52" s="21"/>
      <c r="H52" s="21"/>
    </row>
    <row r="53" spans="1:8" ht="45" customHeight="1">
      <c r="B53" s="21"/>
      <c r="C53" s="21"/>
      <c r="D53" s="21"/>
      <c r="E53" s="21"/>
      <c r="F53" s="21"/>
      <c r="G53" s="21"/>
      <c r="H53" s="21"/>
    </row>
    <row r="54" spans="1:8" ht="45" customHeight="1">
      <c r="B54" s="21"/>
      <c r="C54" s="21"/>
      <c r="D54" s="21"/>
      <c r="E54" s="21"/>
      <c r="F54" s="21"/>
      <c r="G54" s="21"/>
      <c r="H54" s="21"/>
    </row>
    <row r="55" spans="1:8" ht="33" customHeight="1">
      <c r="A55" s="18"/>
      <c r="B55" s="18"/>
    </row>
    <row r="56" spans="1:8" ht="33" customHeight="1">
      <c r="A56" s="19"/>
      <c r="B56" s="26"/>
    </row>
    <row r="57" spans="1:8" ht="33" customHeight="1">
      <c r="A57" s="19"/>
      <c r="B57" s="26"/>
    </row>
    <row r="58" spans="1:8" ht="33" customHeight="1">
      <c r="A58" s="19"/>
      <c r="B58" s="26"/>
    </row>
    <row r="59" spans="1:8" ht="33" customHeight="1">
      <c r="A59" s="19"/>
      <c r="B59" s="26"/>
    </row>
    <row r="60" spans="1:8" ht="45" customHeight="1">
      <c r="B60" s="20"/>
      <c r="C60" s="20"/>
      <c r="D60" s="20"/>
      <c r="E60" s="20"/>
      <c r="F60" s="20"/>
      <c r="G60" s="20"/>
      <c r="H60" s="20"/>
    </row>
    <row r="61" spans="1:8" ht="45" customHeight="1">
      <c r="B61" s="20"/>
      <c r="C61" s="20"/>
      <c r="D61" s="20"/>
      <c r="E61" s="20"/>
      <c r="F61" s="20"/>
      <c r="G61" s="20"/>
      <c r="H61" s="20"/>
    </row>
  </sheetData>
  <mergeCells count="30">
    <mergeCell ref="B31:H31"/>
    <mergeCell ref="J4:P4"/>
    <mergeCell ref="J5:L5"/>
    <mergeCell ref="J6:L6"/>
    <mergeCell ref="J7:L7"/>
    <mergeCell ref="J8:L8"/>
    <mergeCell ref="M5:P5"/>
    <mergeCell ref="M6:P6"/>
    <mergeCell ref="M7:P7"/>
    <mergeCell ref="M8:P8"/>
    <mergeCell ref="B52:H52"/>
    <mergeCell ref="B53:H53"/>
    <mergeCell ref="B54:H54"/>
    <mergeCell ref="B60:H60"/>
    <mergeCell ref="B61:H61"/>
    <mergeCell ref="B37:H37"/>
    <mergeCell ref="B47:H47"/>
    <mergeCell ref="B48:H48"/>
    <mergeCell ref="B49:H49"/>
    <mergeCell ref="B51:H51"/>
    <mergeCell ref="B32:H32"/>
    <mergeCell ref="B33:H33"/>
    <mergeCell ref="B34:H34"/>
    <mergeCell ref="B35:H35"/>
    <mergeCell ref="B36:H36"/>
    <mergeCell ref="B4:H4"/>
    <mergeCell ref="B5:H5"/>
    <mergeCell ref="B6:H6"/>
    <mergeCell ref="B8:H8"/>
    <mergeCell ref="B30:H30"/>
  </mergeCells>
  <conditionalFormatting sqref="J17:W28 Y17:Y28">
    <cfRule type="expression" dxfId="1" priority="1">
      <formula>AND(J$16&gt;=$E17,J$16&lt;=$F17)</formula>
    </cfRule>
  </conditionalFormatting>
  <dataValidations count="1">
    <dataValidation type="list" sqref="G17:G28" xr:uid="{00000000-0002-0000-0000-000000000000}">
      <formula1>"Not Started,In Progress,Complete,At Risk"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topLeftCell="A20" workbookViewId="0">
      <selection activeCell="A10" sqref="A10"/>
    </sheetView>
  </sheetViews>
  <sheetFormatPr baseColWidth="10" defaultColWidth="8.83203125" defaultRowHeight="14"/>
  <cols>
    <col min="1" max="1" width="36.6640625" customWidth="1"/>
    <col min="2" max="2" width="28" customWidth="1"/>
    <col min="3" max="5" width="17.5" customWidth="1"/>
    <col min="6" max="6" width="2.5" customWidth="1"/>
    <col min="7" max="7" width="30" customWidth="1"/>
    <col min="8" max="9" width="19.1640625" customWidth="1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 ht="23">
      <c r="A2" s="28" t="s">
        <v>98</v>
      </c>
      <c r="B2" s="1"/>
      <c r="C2" s="1"/>
      <c r="D2" s="1"/>
      <c r="E2" s="1"/>
      <c r="F2" s="1"/>
      <c r="G2" s="1"/>
      <c r="H2" s="1"/>
    </row>
    <row r="3" spans="1:9">
      <c r="A3" s="1"/>
      <c r="B3" s="1"/>
      <c r="C3" s="1"/>
      <c r="D3" s="1"/>
      <c r="E3" s="1"/>
      <c r="F3" s="1"/>
      <c r="G3" s="1"/>
      <c r="H3" s="1"/>
    </row>
    <row r="4" spans="1:9" ht="16">
      <c r="A4" s="1" t="s">
        <v>57</v>
      </c>
      <c r="B4" s="2">
        <v>500</v>
      </c>
      <c r="C4" s="1"/>
      <c r="D4" s="1"/>
      <c r="E4" s="1"/>
      <c r="F4" s="1"/>
      <c r="G4" s="11" t="s">
        <v>99</v>
      </c>
      <c r="H4" s="11" t="s">
        <v>100</v>
      </c>
      <c r="I4" s="18" t="s">
        <v>101</v>
      </c>
    </row>
    <row r="5" spans="1:9" ht="15">
      <c r="A5" s="1" t="s">
        <v>58</v>
      </c>
      <c r="B5" s="1">
        <v>30</v>
      </c>
      <c r="C5" s="1"/>
      <c r="D5" s="1"/>
      <c r="E5" s="1"/>
      <c r="F5" s="1"/>
      <c r="G5" s="3" t="s">
        <v>102</v>
      </c>
      <c r="H5" s="31">
        <v>200</v>
      </c>
      <c r="I5" s="32">
        <f>SUMIF(A8:A16,"*snack*",D8:D16)+SUMIF(A8:A16,"Drinks",D8:D16)+SUMIF(A8:A16,"Desserts",D8:D16)</f>
        <v>300</v>
      </c>
    </row>
    <row r="6" spans="1:9" ht="15">
      <c r="A6" s="1"/>
      <c r="B6" s="1"/>
      <c r="C6" s="1"/>
      <c r="D6" s="1"/>
      <c r="E6" s="1"/>
      <c r="F6" s="1"/>
      <c r="G6" s="3" t="s">
        <v>97</v>
      </c>
      <c r="H6" s="31">
        <v>50</v>
      </c>
      <c r="I6" s="32">
        <f>SUMIF(A8:A16,"*invitation*",D8:D16)</f>
        <v>45</v>
      </c>
    </row>
    <row r="7" spans="1:9" ht="30" customHeight="1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63</v>
      </c>
      <c r="F7" s="1"/>
      <c r="G7" s="3" t="s">
        <v>103</v>
      </c>
      <c r="H7" s="31">
        <v>75</v>
      </c>
      <c r="I7" s="32">
        <f>SUMIF(A8:A16,"*Plates*",D8:D16)+SUMIF(A8:A16,"*Decoration*",D8:D16)</f>
        <v>110</v>
      </c>
    </row>
    <row r="8" spans="1:9" ht="15">
      <c r="A8" s="3" t="s">
        <v>64</v>
      </c>
      <c r="B8" s="1">
        <v>1</v>
      </c>
      <c r="C8" s="5">
        <v>0</v>
      </c>
      <c r="D8" s="5">
        <f t="shared" ref="D8:D15" si="0">B8*C8</f>
        <v>0</v>
      </c>
      <c r="E8" s="6"/>
      <c r="F8" s="1"/>
      <c r="G8" s="3" t="s">
        <v>104</v>
      </c>
      <c r="H8" s="31">
        <v>25</v>
      </c>
      <c r="I8" s="32">
        <f>SUMIF(A8:A16,"*Presentation*",D8:D16)</f>
        <v>0</v>
      </c>
    </row>
    <row r="9" spans="1:9" ht="15">
      <c r="A9" s="3" t="s">
        <v>97</v>
      </c>
      <c r="B9" s="1">
        <v>30</v>
      </c>
      <c r="C9" s="5">
        <v>1.5</v>
      </c>
      <c r="D9" s="5">
        <f>B9*C9</f>
        <v>45</v>
      </c>
      <c r="E9" s="6"/>
      <c r="F9" s="1"/>
      <c r="G9" s="3" t="s">
        <v>105</v>
      </c>
      <c r="H9" s="31">
        <v>0</v>
      </c>
      <c r="I9" s="32">
        <f>SUMIF(A8:A16,"*tax*",D8:D16)</f>
        <v>30</v>
      </c>
    </row>
    <row r="10" spans="1:9" ht="15">
      <c r="A10" s="3" t="s">
        <v>65</v>
      </c>
      <c r="B10" s="1">
        <v>30</v>
      </c>
      <c r="C10" s="5">
        <v>8</v>
      </c>
      <c r="D10" s="5">
        <f t="shared" si="0"/>
        <v>240</v>
      </c>
      <c r="E10" s="6"/>
      <c r="F10" s="1"/>
      <c r="G10" s="3" t="s">
        <v>106</v>
      </c>
      <c r="H10" s="31">
        <v>150</v>
      </c>
      <c r="I10" s="32">
        <f>SUMIF(A17:A22,"*reserve*",D17:D22)</f>
        <v>15</v>
      </c>
    </row>
    <row r="11" spans="1:9" ht="16">
      <c r="A11" s="3" t="s">
        <v>66</v>
      </c>
      <c r="B11" s="1">
        <v>30</v>
      </c>
      <c r="C11" s="5">
        <v>2</v>
      </c>
      <c r="D11" s="5">
        <f t="shared" si="0"/>
        <v>60</v>
      </c>
      <c r="E11" s="6"/>
      <c r="F11" s="1"/>
      <c r="G11" s="29" t="s">
        <v>107</v>
      </c>
      <c r="H11" s="33">
        <f>SUM(H5:H10)</f>
        <v>500</v>
      </c>
      <c r="I11" s="34">
        <f>SUM(I5:I10)</f>
        <v>500</v>
      </c>
    </row>
    <row r="12" spans="1:9" ht="15">
      <c r="A12" s="3" t="s">
        <v>67</v>
      </c>
      <c r="B12" s="1">
        <v>1</v>
      </c>
      <c r="C12" s="5">
        <v>35</v>
      </c>
      <c r="D12" s="5">
        <f t="shared" si="0"/>
        <v>35</v>
      </c>
      <c r="E12" s="6"/>
      <c r="F12" s="1"/>
      <c r="G12" s="3"/>
      <c r="H12" s="3"/>
      <c r="I12" s="19"/>
    </row>
    <row r="13" spans="1:9" ht="16" customHeight="1">
      <c r="A13" s="3" t="s">
        <v>96</v>
      </c>
      <c r="B13" s="1">
        <v>1</v>
      </c>
      <c r="C13" s="5">
        <v>75</v>
      </c>
      <c r="D13" s="5">
        <f t="shared" si="0"/>
        <v>75</v>
      </c>
      <c r="E13" s="6"/>
      <c r="F13" s="1"/>
      <c r="G13" s="30" t="s">
        <v>108</v>
      </c>
      <c r="H13" s="35" t="str">
        <f>IF(AND(I11&lt;=B4,I10&gt;=0),"WITHIN $500","OVER BUDGET")</f>
        <v>WITHIN $500</v>
      </c>
      <c r="I13" s="35"/>
    </row>
    <row r="14" spans="1:9" ht="15">
      <c r="A14" s="3" t="s">
        <v>68</v>
      </c>
      <c r="B14" s="1">
        <v>1</v>
      </c>
      <c r="C14" s="5">
        <v>30</v>
      </c>
      <c r="D14" s="5">
        <f t="shared" si="0"/>
        <v>30</v>
      </c>
      <c r="E14" s="6"/>
      <c r="F14" s="1"/>
      <c r="G14" s="1"/>
      <c r="H14" s="1"/>
    </row>
    <row r="15" spans="1:9" ht="27.75" customHeight="1">
      <c r="A15" s="3" t="s">
        <v>69</v>
      </c>
      <c r="B15" s="1">
        <v>1</v>
      </c>
      <c r="C15" s="5">
        <v>0</v>
      </c>
      <c r="D15" s="5">
        <f t="shared" si="0"/>
        <v>0</v>
      </c>
      <c r="E15" s="6"/>
      <c r="F15" s="1"/>
      <c r="G15" s="20" t="str">
        <f>"Current itemized plan retained: "&amp;TEXT(SUM(D8:D16),"$0.00")&amp;" spending + "&amp;TEXT(I10,"$0.00")&amp;" reserve. Planning estimates only; confirm quotes. Class proposal is shown for comparison."</f>
        <v>Current itemized plan retained: $485.00 spending + $15.00 reserve. Planning estimates only; confirm quotes. Class proposal is shown for comparison.</v>
      </c>
      <c r="H15" s="20"/>
      <c r="I15" s="20"/>
    </row>
    <row r="16" spans="1:9">
      <c r="A16" s="3"/>
      <c r="B16" s="1"/>
      <c r="C16" s="5"/>
      <c r="D16" s="5"/>
      <c r="E16" s="5"/>
      <c r="F16" s="1"/>
      <c r="G16" s="1"/>
      <c r="H16" s="1"/>
    </row>
    <row r="17" spans="1:8">
      <c r="A17" s="7" t="s">
        <v>70</v>
      </c>
      <c r="B17" s="7"/>
      <c r="C17" s="8"/>
      <c r="D17" s="8">
        <f>SUM(D8:D15)</f>
        <v>485</v>
      </c>
      <c r="E17" s="8"/>
      <c r="F17" s="1"/>
      <c r="G17" s="1"/>
      <c r="H17" s="1"/>
    </row>
    <row r="18" spans="1:8">
      <c r="A18" s="7" t="s">
        <v>71</v>
      </c>
      <c r="B18" s="7"/>
      <c r="C18" s="8"/>
      <c r="D18" s="8">
        <f>B4-D17</f>
        <v>15</v>
      </c>
      <c r="E18" s="8"/>
      <c r="F18" s="1"/>
      <c r="G18" s="1"/>
      <c r="H18" s="1"/>
    </row>
    <row r="19" spans="1:8">
      <c r="A19" s="7" t="s">
        <v>72</v>
      </c>
      <c r="B19" s="7"/>
      <c r="C19" s="8"/>
      <c r="D19" s="8"/>
      <c r="E19" s="8">
        <f>SUM(E8:E15)</f>
        <v>0</v>
      </c>
      <c r="F19" s="1"/>
      <c r="G19" s="1"/>
      <c r="H19" s="1"/>
    </row>
    <row r="20" spans="1:8">
      <c r="A20" s="7" t="s">
        <v>73</v>
      </c>
      <c r="B20" s="7"/>
      <c r="C20" s="8"/>
      <c r="D20" s="8"/>
      <c r="E20" s="8">
        <f>B4-E19</f>
        <v>500</v>
      </c>
      <c r="F20" s="1"/>
      <c r="G20" s="1"/>
      <c r="H20" s="1"/>
    </row>
    <row r="21" spans="1:8">
      <c r="A21" s="7"/>
      <c r="B21" s="7"/>
      <c r="C21" s="7"/>
      <c r="D21" s="7"/>
      <c r="E21" s="7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9" t="s">
        <v>74</v>
      </c>
      <c r="B23" s="9"/>
      <c r="C23" s="9"/>
      <c r="D23" s="9"/>
      <c r="E23" s="9"/>
      <c r="F23" s="1"/>
      <c r="G23" s="1"/>
      <c r="H23" s="1"/>
    </row>
    <row r="24" spans="1:8" ht="30" customHeight="1">
      <c r="A24" s="23" t="s">
        <v>75</v>
      </c>
      <c r="B24" s="23"/>
      <c r="C24" s="23"/>
      <c r="D24" s="23"/>
      <c r="E24" s="23"/>
      <c r="F24" s="1"/>
      <c r="G24" s="1"/>
      <c r="H24" s="1"/>
    </row>
    <row r="25" spans="1:8" ht="30" customHeight="1">
      <c r="A25" s="23" t="s">
        <v>76</v>
      </c>
      <c r="B25" s="23"/>
      <c r="C25" s="23"/>
      <c r="D25" s="23"/>
      <c r="E25" s="23"/>
      <c r="F25" s="1"/>
      <c r="G25" s="1"/>
      <c r="H25" s="1"/>
    </row>
    <row r="26" spans="1:8" ht="30" customHeight="1">
      <c r="A26" s="23" t="str">
        <f>"Keep the "&amp;TEXT(I10,"$0.00")&amp;" reserve for unexpected costs. Do not exceed "&amp;TEXT(B4,"$0.00")&amp;" total."</f>
        <v>Keep the $15.00 reserve for unexpected costs. Do not exceed $500.00 total.</v>
      </c>
      <c r="B26" s="23"/>
      <c r="C26" s="23"/>
      <c r="D26" s="23"/>
      <c r="E26" s="23"/>
      <c r="F26" s="1"/>
      <c r="G26" s="1"/>
      <c r="H26" s="1"/>
    </row>
    <row r="27" spans="1:8" ht="30" customHeight="1">
      <c r="A27" s="20" t="s">
        <v>126</v>
      </c>
      <c r="B27" s="20"/>
      <c r="C27" s="20"/>
      <c r="D27" s="20"/>
      <c r="E27" s="20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25" t="s">
        <v>109</v>
      </c>
      <c r="B29" s="25"/>
      <c r="C29" s="25"/>
      <c r="D29" s="25"/>
      <c r="E29" s="25"/>
      <c r="F29" s="1"/>
      <c r="G29" s="1"/>
      <c r="H29" s="1"/>
    </row>
    <row r="30" spans="1:8" ht="36" customHeight="1">
      <c r="A30" s="11" t="s">
        <v>110</v>
      </c>
      <c r="B30" s="11" t="s">
        <v>111</v>
      </c>
      <c r="C30" s="11" t="s">
        <v>112</v>
      </c>
      <c r="D30" s="11" t="s">
        <v>113</v>
      </c>
      <c r="E30" s="11" t="s">
        <v>27</v>
      </c>
      <c r="F30" s="1"/>
      <c r="G30" s="1"/>
      <c r="H30" s="1"/>
    </row>
    <row r="31" spans="1:8" ht="150" customHeight="1">
      <c r="A31" s="3" t="s">
        <v>114</v>
      </c>
      <c r="B31" s="3" t="s">
        <v>115</v>
      </c>
      <c r="C31" s="3" t="s">
        <v>116</v>
      </c>
      <c r="D31" s="3" t="s">
        <v>117</v>
      </c>
      <c r="E31" s="3" t="s">
        <v>118</v>
      </c>
      <c r="F31" s="1"/>
      <c r="G31" s="1"/>
      <c r="H31" s="1"/>
    </row>
    <row r="32" spans="1:8" ht="170" customHeight="1">
      <c r="A32" s="3" t="s">
        <v>119</v>
      </c>
      <c r="B32" s="3" t="str">
        <f>"Compare quotes before approval, reduce optional decorations or menu costs, and use the "&amp;TEXT(I10,"$0.00")&amp;" reserve only for essentials. Do not commit above "&amp;TEXT(B4,"$0.00")&amp;"."</f>
        <v>Compare quotes before approval, reduce optional decorations or menu costs, and use the $15.00 reserve only for essentials. Do not commit above $500.00.</v>
      </c>
      <c r="C32" s="3" t="s">
        <v>77</v>
      </c>
      <c r="D32" s="3" t="s">
        <v>120</v>
      </c>
      <c r="E32" s="3" t="s">
        <v>118</v>
      </c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 ht="48" customHeight="1">
      <c r="A34" s="20" t="str">
        <f>"Current reserve: "&amp;TEXT(I10,"$0.00")&amp;" versus the class proposal of "&amp;TEXT(H10,"$0.00")&amp;". Price changes require early review. Record receipts beside the matching expenses; blank actuals mean not entered."</f>
        <v>Current reserve: $15.00 versus the class proposal of $150.00. Price changes require early review. Record receipts beside the matching expenses; blank actuals mean not entered.</v>
      </c>
      <c r="B34" s="20"/>
      <c r="C34" s="20"/>
      <c r="D34" s="20"/>
      <c r="E34" s="20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</sheetData>
  <mergeCells count="8">
    <mergeCell ref="A34:E34"/>
    <mergeCell ref="A27:E27"/>
    <mergeCell ref="H13:I13"/>
    <mergeCell ref="A23:E23"/>
    <mergeCell ref="A24:E24"/>
    <mergeCell ref="A25:E25"/>
    <mergeCell ref="A26:E26"/>
    <mergeCell ref="G15:I15"/>
  </mergeCells>
  <conditionalFormatting sqref="H13:I13">
    <cfRule type="expression" dxfId="0" priority="1">
      <formula>$H$13="OVER BUDGET"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Tasks</vt:lpstr>
      <vt:lpstr>Budget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Jomar Emanuel Mena</cp:lastModifiedBy>
  <dcterms:created xsi:type="dcterms:W3CDTF">2026-10-20T15:11:29Z</dcterms:created>
  <dcterms:modified xsi:type="dcterms:W3CDTF">2026-10-22T15:16:16Z</dcterms:modified>
</cp:coreProperties>
</file>